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hes\Desktop\Besant Tech\"/>
    </mc:Choice>
  </mc:AlternateContent>
  <xr:revisionPtr revIDLastSave="0" documentId="13_ncr:10000001_{3946EF99-B832-4476-935A-5C9FDAFBB2CB}" xr6:coauthVersionLast="47" xr6:coauthVersionMax="47" xr10:uidLastSave="{00000000-0000-0000-0000-000000000000}"/>
  <bookViews>
    <workbookView xWindow="-108" yWindow="-108" windowWidth="23256" windowHeight="12456" activeTab="1" xr2:uid="{00000000-000D-0000-FFFF-FFFF00000000}"/>
  </bookViews>
  <sheets>
    <sheet name="dataset" sheetId="1" r:id="rId1"/>
    <sheet name="Dashboard" sheetId="4" r:id="rId2"/>
    <sheet name="Pivot" sheetId="2" r:id="rId3"/>
  </sheets>
  <definedNames>
    <definedName name="Slicer_CENTURY">#N/A</definedName>
    <definedName name="Slicer_FORMAT">#N/A</definedName>
    <definedName name="Slicer_OPPOSTION">#N/A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91" i="1" l="1"/>
  <c r="O591" i="1"/>
  <c r="P590" i="1"/>
  <c r="O590" i="1"/>
  <c r="P589" i="1"/>
  <c r="O589" i="1"/>
  <c r="P588" i="1"/>
  <c r="O588" i="1"/>
  <c r="P587" i="1"/>
  <c r="O587" i="1"/>
  <c r="P586" i="1"/>
  <c r="O586" i="1"/>
  <c r="P585" i="1"/>
  <c r="O585" i="1"/>
  <c r="P584" i="1"/>
  <c r="O584" i="1"/>
  <c r="P583" i="1"/>
  <c r="O583" i="1"/>
  <c r="P582" i="1"/>
  <c r="O582" i="1"/>
  <c r="P581" i="1"/>
  <c r="O581" i="1"/>
  <c r="P580" i="1"/>
  <c r="O580" i="1"/>
  <c r="P579" i="1"/>
  <c r="O579" i="1"/>
  <c r="P578" i="1"/>
  <c r="O578" i="1"/>
  <c r="P577" i="1"/>
  <c r="O577" i="1"/>
  <c r="P576" i="1"/>
  <c r="O576" i="1"/>
  <c r="P575" i="1"/>
  <c r="O575" i="1"/>
  <c r="P574" i="1"/>
  <c r="O574" i="1"/>
  <c r="P573" i="1"/>
  <c r="O573" i="1"/>
  <c r="P572" i="1"/>
  <c r="O572" i="1"/>
  <c r="P571" i="1"/>
  <c r="O571" i="1"/>
  <c r="P570" i="1"/>
  <c r="O570" i="1"/>
  <c r="P569" i="1"/>
  <c r="O569" i="1"/>
  <c r="P568" i="1"/>
  <c r="O568" i="1"/>
  <c r="P567" i="1"/>
  <c r="O567" i="1"/>
  <c r="P566" i="1"/>
  <c r="O566" i="1"/>
  <c r="P565" i="1"/>
  <c r="O565" i="1"/>
  <c r="P564" i="1"/>
  <c r="O564" i="1"/>
  <c r="P563" i="1"/>
  <c r="O563" i="1"/>
  <c r="P562" i="1"/>
  <c r="O562" i="1"/>
  <c r="P561" i="1"/>
  <c r="O561" i="1"/>
  <c r="P560" i="1"/>
  <c r="O560" i="1"/>
  <c r="P559" i="1"/>
  <c r="O559" i="1"/>
  <c r="P558" i="1"/>
  <c r="O558" i="1"/>
  <c r="P557" i="1"/>
  <c r="O557" i="1"/>
  <c r="P556" i="1"/>
  <c r="O556" i="1"/>
  <c r="P555" i="1"/>
  <c r="O555" i="1"/>
  <c r="P554" i="1"/>
  <c r="O554" i="1"/>
  <c r="P553" i="1"/>
  <c r="O553" i="1"/>
  <c r="P552" i="1"/>
  <c r="O552" i="1"/>
  <c r="P551" i="1"/>
  <c r="O551" i="1"/>
  <c r="P550" i="1"/>
  <c r="O550" i="1"/>
  <c r="P549" i="1"/>
  <c r="O549" i="1"/>
  <c r="P548" i="1"/>
  <c r="O548" i="1"/>
  <c r="P547" i="1"/>
  <c r="O547" i="1"/>
  <c r="P546" i="1"/>
  <c r="O546" i="1"/>
  <c r="P545" i="1"/>
  <c r="O545" i="1"/>
  <c r="P544" i="1"/>
  <c r="O544" i="1"/>
  <c r="P543" i="1"/>
  <c r="O543" i="1"/>
  <c r="P542" i="1"/>
  <c r="O542" i="1"/>
  <c r="P541" i="1"/>
  <c r="O541" i="1"/>
  <c r="P540" i="1"/>
  <c r="O540" i="1"/>
  <c r="P539" i="1"/>
  <c r="O539" i="1"/>
  <c r="P538" i="1"/>
  <c r="O538" i="1"/>
  <c r="P537" i="1"/>
  <c r="O537" i="1"/>
  <c r="P536" i="1"/>
  <c r="O536" i="1"/>
  <c r="P535" i="1"/>
  <c r="O535" i="1"/>
  <c r="P534" i="1"/>
  <c r="O534" i="1"/>
  <c r="P533" i="1"/>
  <c r="O533" i="1"/>
  <c r="P532" i="1"/>
  <c r="O532" i="1"/>
  <c r="P531" i="1"/>
  <c r="O531" i="1"/>
  <c r="P530" i="1"/>
  <c r="O530" i="1"/>
  <c r="P529" i="1"/>
  <c r="O529" i="1"/>
  <c r="P528" i="1"/>
  <c r="O528" i="1"/>
  <c r="P527" i="1"/>
  <c r="O527" i="1"/>
  <c r="P526" i="1"/>
  <c r="O526" i="1"/>
  <c r="P525" i="1"/>
  <c r="O525" i="1"/>
  <c r="P524" i="1"/>
  <c r="O524" i="1"/>
  <c r="P523" i="1"/>
  <c r="O523" i="1"/>
  <c r="P522" i="1"/>
  <c r="O522" i="1"/>
  <c r="P521" i="1"/>
  <c r="O521" i="1"/>
  <c r="P520" i="1"/>
  <c r="O520" i="1"/>
  <c r="P519" i="1"/>
  <c r="O519" i="1"/>
  <c r="P518" i="1"/>
  <c r="O518" i="1"/>
  <c r="P517" i="1"/>
  <c r="O517" i="1"/>
  <c r="P516" i="1"/>
  <c r="O516" i="1"/>
  <c r="P515" i="1"/>
  <c r="O515" i="1"/>
  <c r="P514" i="1"/>
  <c r="O514" i="1"/>
  <c r="P513" i="1"/>
  <c r="O513" i="1"/>
  <c r="P512" i="1"/>
  <c r="O512" i="1"/>
  <c r="P511" i="1"/>
  <c r="O511" i="1"/>
  <c r="P510" i="1"/>
  <c r="O510" i="1"/>
  <c r="P509" i="1"/>
  <c r="O509" i="1"/>
  <c r="P508" i="1"/>
  <c r="O508" i="1"/>
  <c r="P507" i="1"/>
  <c r="O507" i="1"/>
  <c r="P506" i="1"/>
  <c r="O506" i="1"/>
  <c r="P505" i="1"/>
  <c r="O505" i="1"/>
  <c r="P504" i="1"/>
  <c r="O504" i="1"/>
  <c r="P503" i="1"/>
  <c r="O503" i="1"/>
  <c r="P502" i="1"/>
  <c r="O502" i="1"/>
  <c r="P501" i="1"/>
  <c r="O501" i="1"/>
  <c r="P500" i="1"/>
  <c r="O500" i="1"/>
  <c r="P499" i="1"/>
  <c r="O499" i="1"/>
  <c r="P498" i="1"/>
  <c r="O498" i="1"/>
  <c r="P497" i="1"/>
  <c r="O497" i="1"/>
  <c r="P496" i="1"/>
  <c r="O496" i="1"/>
  <c r="P495" i="1"/>
  <c r="O495" i="1"/>
  <c r="P494" i="1"/>
  <c r="O494" i="1"/>
  <c r="P493" i="1"/>
  <c r="O493" i="1"/>
  <c r="P492" i="1"/>
  <c r="O492" i="1"/>
  <c r="P491" i="1"/>
  <c r="O491" i="1"/>
  <c r="P490" i="1"/>
  <c r="O490" i="1"/>
  <c r="P489" i="1"/>
  <c r="O489" i="1"/>
  <c r="P488" i="1"/>
  <c r="O488" i="1"/>
  <c r="P487" i="1"/>
  <c r="O487" i="1"/>
  <c r="P486" i="1"/>
  <c r="O486" i="1"/>
  <c r="P485" i="1"/>
  <c r="O485" i="1"/>
  <c r="P484" i="1"/>
  <c r="O484" i="1"/>
  <c r="P483" i="1"/>
  <c r="O483" i="1"/>
  <c r="P482" i="1"/>
  <c r="O482" i="1"/>
  <c r="P481" i="1"/>
  <c r="O481" i="1"/>
  <c r="P480" i="1"/>
  <c r="O480" i="1"/>
  <c r="P479" i="1"/>
  <c r="O479" i="1"/>
  <c r="P478" i="1"/>
  <c r="O478" i="1"/>
  <c r="P477" i="1"/>
  <c r="O477" i="1"/>
  <c r="P476" i="1"/>
  <c r="O476" i="1"/>
  <c r="P475" i="1"/>
  <c r="O475" i="1"/>
  <c r="P474" i="1"/>
  <c r="O474" i="1"/>
  <c r="P473" i="1"/>
  <c r="O473" i="1"/>
  <c r="P472" i="1"/>
  <c r="O472" i="1"/>
  <c r="P471" i="1"/>
  <c r="O471" i="1"/>
  <c r="P470" i="1"/>
  <c r="O470" i="1"/>
  <c r="P469" i="1"/>
  <c r="O469" i="1"/>
  <c r="P468" i="1"/>
  <c r="O468" i="1"/>
  <c r="P467" i="1"/>
  <c r="O467" i="1"/>
  <c r="P466" i="1"/>
  <c r="O466" i="1"/>
  <c r="P465" i="1"/>
  <c r="O465" i="1"/>
  <c r="P464" i="1"/>
  <c r="O464" i="1"/>
  <c r="P463" i="1"/>
  <c r="O463" i="1"/>
  <c r="P462" i="1"/>
  <c r="O462" i="1"/>
  <c r="P461" i="1"/>
  <c r="O461" i="1"/>
  <c r="P460" i="1"/>
  <c r="O460" i="1"/>
  <c r="P459" i="1"/>
  <c r="O459" i="1"/>
  <c r="P458" i="1"/>
  <c r="O458" i="1"/>
  <c r="P457" i="1"/>
  <c r="O457" i="1"/>
  <c r="P456" i="1"/>
  <c r="O456" i="1"/>
  <c r="P455" i="1"/>
  <c r="O455" i="1"/>
  <c r="P454" i="1"/>
  <c r="O454" i="1"/>
  <c r="P453" i="1"/>
  <c r="O453" i="1"/>
  <c r="P452" i="1"/>
  <c r="O452" i="1"/>
  <c r="P451" i="1"/>
  <c r="O451" i="1"/>
  <c r="P450" i="1"/>
  <c r="O450" i="1"/>
  <c r="P449" i="1"/>
  <c r="O449" i="1"/>
  <c r="P448" i="1"/>
  <c r="O448" i="1"/>
  <c r="P447" i="1"/>
  <c r="O447" i="1"/>
  <c r="P446" i="1"/>
  <c r="O446" i="1"/>
  <c r="P445" i="1"/>
  <c r="O445" i="1"/>
  <c r="P444" i="1"/>
  <c r="O444" i="1"/>
  <c r="P443" i="1"/>
  <c r="O443" i="1"/>
  <c r="P442" i="1"/>
  <c r="O442" i="1"/>
  <c r="P441" i="1"/>
  <c r="O441" i="1"/>
  <c r="P440" i="1"/>
  <c r="O440" i="1"/>
  <c r="P439" i="1"/>
  <c r="O439" i="1"/>
  <c r="P438" i="1"/>
  <c r="O438" i="1"/>
  <c r="P437" i="1"/>
  <c r="O437" i="1"/>
  <c r="P436" i="1"/>
  <c r="O436" i="1"/>
  <c r="P435" i="1"/>
  <c r="O435" i="1"/>
  <c r="P434" i="1"/>
  <c r="O434" i="1"/>
  <c r="P433" i="1"/>
  <c r="O433" i="1"/>
  <c r="P432" i="1"/>
  <c r="O432" i="1"/>
  <c r="P431" i="1"/>
  <c r="O431" i="1"/>
  <c r="P430" i="1"/>
  <c r="O430" i="1"/>
  <c r="P429" i="1"/>
  <c r="O429" i="1"/>
  <c r="P428" i="1"/>
  <c r="O428" i="1"/>
  <c r="P427" i="1"/>
  <c r="O427" i="1"/>
  <c r="P426" i="1"/>
  <c r="O426" i="1"/>
  <c r="P425" i="1"/>
  <c r="O425" i="1"/>
  <c r="P424" i="1"/>
  <c r="O424" i="1"/>
  <c r="P423" i="1"/>
  <c r="O423" i="1"/>
  <c r="P422" i="1"/>
  <c r="O422" i="1"/>
  <c r="P421" i="1"/>
  <c r="O421" i="1"/>
  <c r="P420" i="1"/>
  <c r="O420" i="1"/>
  <c r="P419" i="1"/>
  <c r="O419" i="1"/>
  <c r="P418" i="1"/>
  <c r="O418" i="1"/>
  <c r="P417" i="1"/>
  <c r="O417" i="1"/>
  <c r="P416" i="1"/>
  <c r="O416" i="1"/>
  <c r="P415" i="1"/>
  <c r="O415" i="1"/>
  <c r="P414" i="1"/>
  <c r="O414" i="1"/>
  <c r="P413" i="1"/>
  <c r="O413" i="1"/>
  <c r="P412" i="1"/>
  <c r="O412" i="1"/>
  <c r="P411" i="1"/>
  <c r="O411" i="1"/>
  <c r="P410" i="1"/>
  <c r="O410" i="1"/>
  <c r="P409" i="1"/>
  <c r="O409" i="1"/>
  <c r="P408" i="1"/>
  <c r="O408" i="1"/>
  <c r="P407" i="1"/>
  <c r="O407" i="1"/>
  <c r="P406" i="1"/>
  <c r="O406" i="1"/>
  <c r="P405" i="1"/>
  <c r="O405" i="1"/>
  <c r="P404" i="1"/>
  <c r="O404" i="1"/>
  <c r="P403" i="1"/>
  <c r="O403" i="1"/>
  <c r="P402" i="1"/>
  <c r="O402" i="1"/>
  <c r="P401" i="1"/>
  <c r="O401" i="1"/>
  <c r="P400" i="1"/>
  <c r="O400" i="1"/>
  <c r="P399" i="1"/>
  <c r="O399" i="1"/>
  <c r="P398" i="1"/>
  <c r="O398" i="1"/>
  <c r="P397" i="1"/>
  <c r="O397" i="1"/>
  <c r="P396" i="1"/>
  <c r="O396" i="1"/>
  <c r="P395" i="1"/>
  <c r="O395" i="1"/>
  <c r="P394" i="1"/>
  <c r="O394" i="1"/>
  <c r="P393" i="1"/>
  <c r="O393" i="1"/>
  <c r="P392" i="1"/>
  <c r="O392" i="1"/>
  <c r="P391" i="1"/>
  <c r="O391" i="1"/>
  <c r="P390" i="1"/>
  <c r="O390" i="1"/>
  <c r="P389" i="1"/>
  <c r="O389" i="1"/>
  <c r="P388" i="1"/>
  <c r="O388" i="1"/>
  <c r="P387" i="1"/>
  <c r="O387" i="1"/>
  <c r="P386" i="1"/>
  <c r="O386" i="1"/>
  <c r="P385" i="1"/>
  <c r="O385" i="1"/>
  <c r="P384" i="1"/>
  <c r="O384" i="1"/>
  <c r="P383" i="1"/>
  <c r="O383" i="1"/>
  <c r="P382" i="1"/>
  <c r="O382" i="1"/>
  <c r="P381" i="1"/>
  <c r="O381" i="1"/>
  <c r="P380" i="1"/>
  <c r="O380" i="1"/>
  <c r="P379" i="1"/>
  <c r="O379" i="1"/>
  <c r="P378" i="1"/>
  <c r="O378" i="1"/>
  <c r="P377" i="1"/>
  <c r="O377" i="1"/>
  <c r="P376" i="1"/>
  <c r="O376" i="1"/>
  <c r="P375" i="1"/>
  <c r="O375" i="1"/>
  <c r="P374" i="1"/>
  <c r="O374" i="1"/>
  <c r="P373" i="1"/>
  <c r="O373" i="1"/>
  <c r="P372" i="1"/>
  <c r="O372" i="1"/>
  <c r="P371" i="1"/>
  <c r="O371" i="1"/>
  <c r="P370" i="1"/>
  <c r="O370" i="1"/>
  <c r="P369" i="1"/>
  <c r="O369" i="1"/>
  <c r="P368" i="1"/>
  <c r="O368" i="1"/>
  <c r="P367" i="1"/>
  <c r="O367" i="1"/>
  <c r="P366" i="1"/>
  <c r="O366" i="1"/>
  <c r="P365" i="1"/>
  <c r="O365" i="1"/>
  <c r="P364" i="1"/>
  <c r="O364" i="1"/>
  <c r="P363" i="1"/>
  <c r="O363" i="1"/>
  <c r="P362" i="1"/>
  <c r="O362" i="1"/>
  <c r="P361" i="1"/>
  <c r="O361" i="1"/>
  <c r="P360" i="1"/>
  <c r="O360" i="1"/>
  <c r="P359" i="1"/>
  <c r="O359" i="1"/>
  <c r="P358" i="1"/>
  <c r="O358" i="1"/>
  <c r="P357" i="1"/>
  <c r="O357" i="1"/>
  <c r="P356" i="1"/>
  <c r="O356" i="1"/>
  <c r="P355" i="1"/>
  <c r="O355" i="1"/>
  <c r="P354" i="1"/>
  <c r="O354" i="1"/>
  <c r="P353" i="1"/>
  <c r="O353" i="1"/>
  <c r="P352" i="1"/>
  <c r="O352" i="1"/>
  <c r="P351" i="1"/>
  <c r="O351" i="1"/>
  <c r="P350" i="1"/>
  <c r="O350" i="1"/>
  <c r="P349" i="1"/>
  <c r="O349" i="1"/>
  <c r="P348" i="1"/>
  <c r="O348" i="1"/>
  <c r="P347" i="1"/>
  <c r="O347" i="1"/>
  <c r="P346" i="1"/>
  <c r="O346" i="1"/>
  <c r="P345" i="1"/>
  <c r="O345" i="1"/>
  <c r="P344" i="1"/>
  <c r="O344" i="1"/>
  <c r="P343" i="1"/>
  <c r="O343" i="1"/>
  <c r="P342" i="1"/>
  <c r="O342" i="1"/>
  <c r="P341" i="1"/>
  <c r="O341" i="1"/>
  <c r="P340" i="1"/>
  <c r="O340" i="1"/>
  <c r="P339" i="1"/>
  <c r="O339" i="1"/>
  <c r="P338" i="1"/>
  <c r="O338" i="1"/>
  <c r="P337" i="1"/>
  <c r="O337" i="1"/>
  <c r="P336" i="1"/>
  <c r="O336" i="1"/>
  <c r="P335" i="1"/>
  <c r="O335" i="1"/>
  <c r="P334" i="1"/>
  <c r="O334" i="1"/>
  <c r="P333" i="1"/>
  <c r="O333" i="1"/>
  <c r="P332" i="1"/>
  <c r="O332" i="1"/>
  <c r="P331" i="1"/>
  <c r="O331" i="1"/>
  <c r="P330" i="1"/>
  <c r="O330" i="1"/>
  <c r="P329" i="1"/>
  <c r="O329" i="1"/>
  <c r="P328" i="1"/>
  <c r="O328" i="1"/>
  <c r="P327" i="1"/>
  <c r="O327" i="1"/>
  <c r="P326" i="1"/>
  <c r="O326" i="1"/>
  <c r="P325" i="1"/>
  <c r="O325" i="1"/>
  <c r="P324" i="1"/>
  <c r="O324" i="1"/>
  <c r="P323" i="1"/>
  <c r="O323" i="1"/>
  <c r="P322" i="1"/>
  <c r="O322" i="1"/>
  <c r="P321" i="1"/>
  <c r="O321" i="1"/>
  <c r="P320" i="1"/>
  <c r="O320" i="1"/>
  <c r="P319" i="1"/>
  <c r="O319" i="1"/>
  <c r="P318" i="1"/>
  <c r="O318" i="1"/>
  <c r="P317" i="1"/>
  <c r="O317" i="1"/>
  <c r="P316" i="1"/>
  <c r="O316" i="1"/>
  <c r="P315" i="1"/>
  <c r="O315" i="1"/>
  <c r="P314" i="1"/>
  <c r="O314" i="1"/>
  <c r="P313" i="1"/>
  <c r="O313" i="1"/>
  <c r="P312" i="1"/>
  <c r="O312" i="1"/>
  <c r="P311" i="1"/>
  <c r="O311" i="1"/>
  <c r="P310" i="1"/>
  <c r="O310" i="1"/>
  <c r="P309" i="1"/>
  <c r="O309" i="1"/>
  <c r="P308" i="1"/>
  <c r="O308" i="1"/>
  <c r="P307" i="1"/>
  <c r="O307" i="1"/>
  <c r="P306" i="1"/>
  <c r="O306" i="1"/>
  <c r="P305" i="1"/>
  <c r="O305" i="1"/>
  <c r="P304" i="1"/>
  <c r="O304" i="1"/>
  <c r="P303" i="1"/>
  <c r="O303" i="1"/>
  <c r="P302" i="1"/>
  <c r="O302" i="1"/>
  <c r="P301" i="1"/>
  <c r="O301" i="1"/>
  <c r="P300" i="1"/>
  <c r="O300" i="1"/>
  <c r="P299" i="1"/>
  <c r="O299" i="1"/>
  <c r="P298" i="1"/>
  <c r="O298" i="1"/>
  <c r="P297" i="1"/>
  <c r="O297" i="1"/>
  <c r="P296" i="1"/>
  <c r="O296" i="1"/>
  <c r="P295" i="1"/>
  <c r="O295" i="1"/>
  <c r="P294" i="1"/>
  <c r="O294" i="1"/>
  <c r="P293" i="1"/>
  <c r="O293" i="1"/>
  <c r="P292" i="1"/>
  <c r="O292" i="1"/>
  <c r="P291" i="1"/>
  <c r="O291" i="1"/>
  <c r="P290" i="1"/>
  <c r="O290" i="1"/>
  <c r="P289" i="1"/>
  <c r="O289" i="1"/>
  <c r="P288" i="1"/>
  <c r="O288" i="1"/>
  <c r="P287" i="1"/>
  <c r="O287" i="1"/>
  <c r="P286" i="1"/>
  <c r="O286" i="1"/>
  <c r="P285" i="1"/>
  <c r="O285" i="1"/>
  <c r="P284" i="1"/>
  <c r="O284" i="1"/>
  <c r="P283" i="1"/>
  <c r="O283" i="1"/>
  <c r="P282" i="1"/>
  <c r="O282" i="1"/>
  <c r="P281" i="1"/>
  <c r="O281" i="1"/>
  <c r="P280" i="1"/>
  <c r="O280" i="1"/>
  <c r="P279" i="1"/>
  <c r="O279" i="1"/>
  <c r="P278" i="1"/>
  <c r="O278" i="1"/>
  <c r="P277" i="1"/>
  <c r="O277" i="1"/>
  <c r="P276" i="1"/>
  <c r="O276" i="1"/>
  <c r="P275" i="1"/>
  <c r="O275" i="1"/>
  <c r="P274" i="1"/>
  <c r="O274" i="1"/>
  <c r="P273" i="1"/>
  <c r="O273" i="1"/>
  <c r="P272" i="1"/>
  <c r="O272" i="1"/>
  <c r="P271" i="1"/>
  <c r="O271" i="1"/>
  <c r="P270" i="1"/>
  <c r="O270" i="1"/>
  <c r="P269" i="1"/>
  <c r="O269" i="1"/>
  <c r="P268" i="1"/>
  <c r="O268" i="1"/>
  <c r="P267" i="1"/>
  <c r="O267" i="1"/>
  <c r="P266" i="1"/>
  <c r="O266" i="1"/>
  <c r="P265" i="1"/>
  <c r="O265" i="1"/>
  <c r="P264" i="1"/>
  <c r="O264" i="1"/>
  <c r="P263" i="1"/>
  <c r="O263" i="1"/>
  <c r="P262" i="1"/>
  <c r="O262" i="1"/>
  <c r="P261" i="1"/>
  <c r="O261" i="1"/>
  <c r="P260" i="1"/>
  <c r="O260" i="1"/>
  <c r="P259" i="1"/>
  <c r="O259" i="1"/>
  <c r="P258" i="1"/>
  <c r="O258" i="1"/>
  <c r="P257" i="1"/>
  <c r="O257" i="1"/>
  <c r="P256" i="1"/>
  <c r="O256" i="1"/>
  <c r="P255" i="1"/>
  <c r="O255" i="1"/>
  <c r="P254" i="1"/>
  <c r="O254" i="1"/>
  <c r="P253" i="1"/>
  <c r="O253" i="1"/>
  <c r="P252" i="1"/>
  <c r="O252" i="1"/>
  <c r="P251" i="1"/>
  <c r="O251" i="1"/>
  <c r="P250" i="1"/>
  <c r="O250" i="1"/>
  <c r="P249" i="1"/>
  <c r="O249" i="1"/>
  <c r="P248" i="1"/>
  <c r="O248" i="1"/>
  <c r="P247" i="1"/>
  <c r="O247" i="1"/>
  <c r="P246" i="1"/>
  <c r="O246" i="1"/>
  <c r="P245" i="1"/>
  <c r="O245" i="1"/>
  <c r="P244" i="1"/>
  <c r="O244" i="1"/>
  <c r="P243" i="1"/>
  <c r="O243" i="1"/>
  <c r="P242" i="1"/>
  <c r="O242" i="1"/>
  <c r="P241" i="1"/>
  <c r="O241" i="1"/>
  <c r="P240" i="1"/>
  <c r="O240" i="1"/>
  <c r="P239" i="1"/>
  <c r="O239" i="1"/>
  <c r="P238" i="1"/>
  <c r="O238" i="1"/>
  <c r="P237" i="1"/>
  <c r="O237" i="1"/>
  <c r="P236" i="1"/>
  <c r="O236" i="1"/>
  <c r="P235" i="1"/>
  <c r="O235" i="1"/>
  <c r="P234" i="1"/>
  <c r="O234" i="1"/>
  <c r="P233" i="1"/>
  <c r="O233" i="1"/>
  <c r="P232" i="1"/>
  <c r="O232" i="1"/>
  <c r="P231" i="1"/>
  <c r="O231" i="1"/>
  <c r="P230" i="1"/>
  <c r="O230" i="1"/>
  <c r="P229" i="1"/>
  <c r="O229" i="1"/>
  <c r="P228" i="1"/>
  <c r="O228" i="1"/>
  <c r="P227" i="1"/>
  <c r="O227" i="1"/>
  <c r="P226" i="1"/>
  <c r="O226" i="1"/>
  <c r="P225" i="1"/>
  <c r="O225" i="1"/>
  <c r="P224" i="1"/>
  <c r="O224" i="1"/>
  <c r="P223" i="1"/>
  <c r="O223" i="1"/>
  <c r="P222" i="1"/>
  <c r="O222" i="1"/>
  <c r="P221" i="1"/>
  <c r="O221" i="1"/>
  <c r="P220" i="1"/>
  <c r="O220" i="1"/>
  <c r="P219" i="1"/>
  <c r="O219" i="1"/>
  <c r="P218" i="1"/>
  <c r="O218" i="1"/>
  <c r="P217" i="1"/>
  <c r="O217" i="1"/>
  <c r="P216" i="1"/>
  <c r="O216" i="1"/>
  <c r="P215" i="1"/>
  <c r="O215" i="1"/>
  <c r="P214" i="1"/>
  <c r="O214" i="1"/>
  <c r="P213" i="1"/>
  <c r="O213" i="1"/>
  <c r="P212" i="1"/>
  <c r="O212" i="1"/>
  <c r="P211" i="1"/>
  <c r="O211" i="1"/>
  <c r="P210" i="1"/>
  <c r="O210" i="1"/>
  <c r="P209" i="1"/>
  <c r="O209" i="1"/>
  <c r="P208" i="1"/>
  <c r="O208" i="1"/>
  <c r="P207" i="1"/>
  <c r="O207" i="1"/>
  <c r="P206" i="1"/>
  <c r="O206" i="1"/>
  <c r="P205" i="1"/>
  <c r="O205" i="1"/>
  <c r="P204" i="1"/>
  <c r="O204" i="1"/>
  <c r="P203" i="1"/>
  <c r="O203" i="1"/>
  <c r="P202" i="1"/>
  <c r="O202" i="1"/>
  <c r="P201" i="1"/>
  <c r="O201" i="1"/>
  <c r="P200" i="1"/>
  <c r="O200" i="1"/>
  <c r="P199" i="1"/>
  <c r="O199" i="1"/>
  <c r="P198" i="1"/>
  <c r="O198" i="1"/>
  <c r="P197" i="1"/>
  <c r="O197" i="1"/>
  <c r="P196" i="1"/>
  <c r="O196" i="1"/>
  <c r="P195" i="1"/>
  <c r="O195" i="1"/>
  <c r="P194" i="1"/>
  <c r="O194" i="1"/>
  <c r="P193" i="1"/>
  <c r="O193" i="1"/>
  <c r="P192" i="1"/>
  <c r="O192" i="1"/>
  <c r="P191" i="1"/>
  <c r="O191" i="1"/>
  <c r="P190" i="1"/>
  <c r="O190" i="1"/>
  <c r="P189" i="1"/>
  <c r="O189" i="1"/>
  <c r="P188" i="1"/>
  <c r="O188" i="1"/>
  <c r="P187" i="1"/>
  <c r="O187" i="1"/>
  <c r="P186" i="1"/>
  <c r="O186" i="1"/>
  <c r="P185" i="1"/>
  <c r="O185" i="1"/>
  <c r="P184" i="1"/>
  <c r="O184" i="1"/>
  <c r="P183" i="1"/>
  <c r="O183" i="1"/>
  <c r="P182" i="1"/>
  <c r="O182" i="1"/>
  <c r="P181" i="1"/>
  <c r="O181" i="1"/>
  <c r="P180" i="1"/>
  <c r="O180" i="1"/>
  <c r="P179" i="1"/>
  <c r="O179" i="1"/>
  <c r="P178" i="1"/>
  <c r="O178" i="1"/>
  <c r="P177" i="1"/>
  <c r="O177" i="1"/>
  <c r="P176" i="1"/>
  <c r="O176" i="1"/>
  <c r="P175" i="1"/>
  <c r="O175" i="1"/>
  <c r="P174" i="1"/>
  <c r="O174" i="1"/>
  <c r="P173" i="1"/>
  <c r="O173" i="1"/>
  <c r="P172" i="1"/>
  <c r="O172" i="1"/>
  <c r="P171" i="1"/>
  <c r="O171" i="1"/>
  <c r="P170" i="1"/>
  <c r="O170" i="1"/>
  <c r="P169" i="1"/>
  <c r="O169" i="1"/>
  <c r="P168" i="1"/>
  <c r="O168" i="1"/>
  <c r="P167" i="1"/>
  <c r="O167" i="1"/>
  <c r="P166" i="1"/>
  <c r="O166" i="1"/>
  <c r="P165" i="1"/>
  <c r="O165" i="1"/>
  <c r="P164" i="1"/>
  <c r="O164" i="1"/>
  <c r="P163" i="1"/>
  <c r="O163" i="1"/>
  <c r="P162" i="1"/>
  <c r="O162" i="1"/>
  <c r="P161" i="1"/>
  <c r="O161" i="1"/>
  <c r="P160" i="1"/>
  <c r="O160" i="1"/>
  <c r="P159" i="1"/>
  <c r="O159" i="1"/>
  <c r="P158" i="1"/>
  <c r="O158" i="1"/>
  <c r="P157" i="1"/>
  <c r="O157" i="1"/>
  <c r="P156" i="1"/>
  <c r="O156" i="1"/>
  <c r="P155" i="1"/>
  <c r="O155" i="1"/>
  <c r="P154" i="1"/>
  <c r="O154" i="1"/>
  <c r="P153" i="1"/>
  <c r="O153" i="1"/>
  <c r="P152" i="1"/>
  <c r="O152" i="1"/>
  <c r="P151" i="1"/>
  <c r="O151" i="1"/>
  <c r="P150" i="1"/>
  <c r="O150" i="1"/>
  <c r="P149" i="1"/>
  <c r="O149" i="1"/>
  <c r="P148" i="1"/>
  <c r="O148" i="1"/>
  <c r="P147" i="1"/>
  <c r="O147" i="1"/>
  <c r="P146" i="1"/>
  <c r="O146" i="1"/>
  <c r="P145" i="1"/>
  <c r="O145" i="1"/>
  <c r="P144" i="1"/>
  <c r="O144" i="1"/>
  <c r="P143" i="1"/>
  <c r="O143" i="1"/>
  <c r="P142" i="1"/>
  <c r="O142" i="1"/>
  <c r="P141" i="1"/>
  <c r="O141" i="1"/>
  <c r="P140" i="1"/>
  <c r="O140" i="1"/>
  <c r="P139" i="1"/>
  <c r="O139" i="1"/>
  <c r="P138" i="1"/>
  <c r="O138" i="1"/>
  <c r="P137" i="1"/>
  <c r="O137" i="1"/>
  <c r="P136" i="1"/>
  <c r="O136" i="1"/>
  <c r="P135" i="1"/>
  <c r="O135" i="1"/>
  <c r="P134" i="1"/>
  <c r="O134" i="1"/>
  <c r="P133" i="1"/>
  <c r="O133" i="1"/>
  <c r="P132" i="1"/>
  <c r="O132" i="1"/>
  <c r="P131" i="1"/>
  <c r="O131" i="1"/>
  <c r="P130" i="1"/>
  <c r="O130" i="1"/>
  <c r="P129" i="1"/>
  <c r="O129" i="1"/>
  <c r="P128" i="1"/>
  <c r="O128" i="1"/>
  <c r="P127" i="1"/>
  <c r="O127" i="1"/>
  <c r="P126" i="1"/>
  <c r="O126" i="1"/>
  <c r="P125" i="1"/>
  <c r="O125" i="1"/>
  <c r="P124" i="1"/>
  <c r="O124" i="1"/>
  <c r="P123" i="1"/>
  <c r="O123" i="1"/>
  <c r="P122" i="1"/>
  <c r="O122" i="1"/>
  <c r="P121" i="1"/>
  <c r="O121" i="1"/>
  <c r="P120" i="1"/>
  <c r="O120" i="1"/>
  <c r="P119" i="1"/>
  <c r="O119" i="1"/>
  <c r="P118" i="1"/>
  <c r="O118" i="1"/>
  <c r="P117" i="1"/>
  <c r="O117" i="1"/>
  <c r="P116" i="1"/>
  <c r="O116" i="1"/>
  <c r="P115" i="1"/>
  <c r="O115" i="1"/>
  <c r="P114" i="1"/>
  <c r="O114" i="1"/>
  <c r="P113" i="1"/>
  <c r="O113" i="1"/>
  <c r="P112" i="1"/>
  <c r="O112" i="1"/>
  <c r="P111" i="1"/>
  <c r="O111" i="1"/>
  <c r="P110" i="1"/>
  <c r="O110" i="1"/>
  <c r="P109" i="1"/>
  <c r="O109" i="1"/>
  <c r="P108" i="1"/>
  <c r="O108" i="1"/>
  <c r="P107" i="1"/>
  <c r="O107" i="1"/>
  <c r="P106" i="1"/>
  <c r="O106" i="1"/>
  <c r="P105" i="1"/>
  <c r="O105" i="1"/>
  <c r="P104" i="1"/>
  <c r="O104" i="1"/>
  <c r="P103" i="1"/>
  <c r="O103" i="1"/>
  <c r="P102" i="1"/>
  <c r="O102" i="1"/>
  <c r="P101" i="1"/>
  <c r="O101" i="1"/>
  <c r="P100" i="1"/>
  <c r="O100" i="1"/>
  <c r="P99" i="1"/>
  <c r="O99" i="1"/>
  <c r="P98" i="1"/>
  <c r="O98" i="1"/>
  <c r="P97" i="1"/>
  <c r="O97" i="1"/>
  <c r="P96" i="1"/>
  <c r="O96" i="1"/>
  <c r="P95" i="1"/>
  <c r="O95" i="1"/>
  <c r="P94" i="1"/>
  <c r="O94" i="1"/>
  <c r="P93" i="1"/>
  <c r="O93" i="1"/>
  <c r="P92" i="1"/>
  <c r="O92" i="1"/>
  <c r="P91" i="1"/>
  <c r="O91" i="1"/>
  <c r="P90" i="1"/>
  <c r="O90" i="1"/>
  <c r="P89" i="1"/>
  <c r="O89" i="1"/>
  <c r="P88" i="1"/>
  <c r="O88" i="1"/>
  <c r="P87" i="1"/>
  <c r="O87" i="1"/>
  <c r="P86" i="1"/>
  <c r="O86" i="1"/>
  <c r="P85" i="1"/>
  <c r="O85" i="1"/>
  <c r="P84" i="1"/>
  <c r="O84" i="1"/>
  <c r="P83" i="1"/>
  <c r="O83" i="1"/>
  <c r="P82" i="1"/>
  <c r="O82" i="1"/>
  <c r="P81" i="1"/>
  <c r="O81" i="1"/>
  <c r="P80" i="1"/>
  <c r="O80" i="1"/>
  <c r="P79" i="1"/>
  <c r="O79" i="1"/>
  <c r="P78" i="1"/>
  <c r="O78" i="1"/>
  <c r="P77" i="1"/>
  <c r="O77" i="1"/>
  <c r="P76" i="1"/>
  <c r="O76" i="1"/>
  <c r="P75" i="1"/>
  <c r="O75" i="1"/>
  <c r="P74" i="1"/>
  <c r="O74" i="1"/>
  <c r="P73" i="1"/>
  <c r="O73" i="1"/>
  <c r="P72" i="1"/>
  <c r="O72" i="1"/>
  <c r="P71" i="1"/>
  <c r="O71" i="1"/>
  <c r="P70" i="1"/>
  <c r="O70" i="1"/>
  <c r="P69" i="1"/>
  <c r="O69" i="1"/>
  <c r="P68" i="1"/>
  <c r="O68" i="1"/>
  <c r="P67" i="1"/>
  <c r="O67" i="1"/>
  <c r="P66" i="1"/>
  <c r="O66" i="1"/>
  <c r="P65" i="1"/>
  <c r="O65" i="1"/>
  <c r="P64" i="1"/>
  <c r="O64" i="1"/>
  <c r="P63" i="1"/>
  <c r="O63" i="1"/>
  <c r="P62" i="1"/>
  <c r="O62" i="1"/>
  <c r="P61" i="1"/>
  <c r="O61" i="1"/>
  <c r="P60" i="1"/>
  <c r="O60" i="1"/>
  <c r="P59" i="1"/>
  <c r="O59" i="1"/>
  <c r="P58" i="1"/>
  <c r="O58" i="1"/>
  <c r="P57" i="1"/>
  <c r="O57" i="1"/>
  <c r="P56" i="1"/>
  <c r="O56" i="1"/>
  <c r="P55" i="1"/>
  <c r="O55" i="1"/>
  <c r="P54" i="1"/>
  <c r="O54" i="1"/>
  <c r="P53" i="1"/>
  <c r="O53" i="1"/>
  <c r="P52" i="1"/>
  <c r="O52" i="1"/>
  <c r="P51" i="1"/>
  <c r="O51" i="1"/>
  <c r="P50" i="1"/>
  <c r="O50" i="1"/>
  <c r="P49" i="1"/>
  <c r="O49" i="1"/>
  <c r="P48" i="1"/>
  <c r="O48" i="1"/>
  <c r="P47" i="1"/>
  <c r="O47" i="1"/>
  <c r="P46" i="1"/>
  <c r="O46" i="1"/>
  <c r="P45" i="1"/>
  <c r="O45" i="1"/>
  <c r="P44" i="1"/>
  <c r="O44" i="1"/>
  <c r="P43" i="1"/>
  <c r="O43" i="1"/>
  <c r="P42" i="1"/>
  <c r="O42" i="1"/>
  <c r="P41" i="1"/>
  <c r="O41" i="1"/>
  <c r="P40" i="1"/>
  <c r="O40" i="1"/>
  <c r="P39" i="1"/>
  <c r="O39" i="1"/>
  <c r="P38" i="1"/>
  <c r="O38" i="1"/>
  <c r="P37" i="1"/>
  <c r="O37" i="1"/>
  <c r="P36" i="1"/>
  <c r="O36" i="1"/>
  <c r="P35" i="1"/>
  <c r="O35" i="1"/>
  <c r="P34" i="1"/>
  <c r="O34" i="1"/>
  <c r="P33" i="1"/>
  <c r="O33" i="1"/>
  <c r="P32" i="1"/>
  <c r="O32" i="1"/>
  <c r="P31" i="1"/>
  <c r="O31" i="1"/>
  <c r="P30" i="1"/>
  <c r="O30" i="1"/>
  <c r="P29" i="1"/>
  <c r="O29" i="1"/>
  <c r="P28" i="1"/>
  <c r="O28" i="1"/>
  <c r="P27" i="1"/>
  <c r="O27" i="1"/>
  <c r="P26" i="1"/>
  <c r="O26" i="1"/>
  <c r="P25" i="1"/>
  <c r="O25" i="1"/>
  <c r="P24" i="1"/>
  <c r="O24" i="1"/>
  <c r="P23" i="1"/>
  <c r="O23" i="1"/>
  <c r="P22" i="1"/>
  <c r="O22" i="1"/>
  <c r="P21" i="1"/>
  <c r="O21" i="1"/>
  <c r="P20" i="1"/>
  <c r="O20" i="1"/>
  <c r="P19" i="1"/>
  <c r="O19" i="1"/>
  <c r="P18" i="1"/>
  <c r="O18" i="1"/>
  <c r="P17" i="1"/>
  <c r="O17" i="1"/>
  <c r="P16" i="1"/>
  <c r="O16" i="1"/>
  <c r="P15" i="1"/>
  <c r="O15" i="1"/>
  <c r="P14" i="1"/>
  <c r="O14" i="1"/>
  <c r="P13" i="1"/>
  <c r="O13" i="1"/>
  <c r="P12" i="1"/>
  <c r="O12" i="1"/>
  <c r="P11" i="1"/>
  <c r="O11" i="1"/>
  <c r="P10" i="1"/>
  <c r="O10" i="1"/>
  <c r="P9" i="1"/>
  <c r="O9" i="1"/>
  <c r="P8" i="1"/>
  <c r="O8" i="1"/>
  <c r="P7" i="1"/>
  <c r="O7" i="1"/>
  <c r="P6" i="1"/>
  <c r="O6" i="1"/>
  <c r="P5" i="1"/>
  <c r="O5" i="1"/>
  <c r="P4" i="1"/>
  <c r="O4" i="1"/>
  <c r="P3" i="1"/>
  <c r="O3" i="1"/>
  <c r="P2" i="1"/>
  <c r="O2" i="1"/>
  <c r="L28" i="2"/>
  <c r="L15" i="2"/>
  <c r="L11" i="2"/>
  <c r="L14" i="2"/>
  <c r="L13" i="2"/>
  <c r="L12" i="2"/>
</calcChain>
</file>

<file path=xl/sharedStrings.xml><?xml version="1.0" encoding="utf-8"?>
<sst xmlns="http://schemas.openxmlformats.org/spreadsheetml/2006/main" count="2469" uniqueCount="149">
  <si>
    <t>caught</t>
  </si>
  <si>
    <t>-</t>
  </si>
  <si>
    <t>Centurion</t>
  </si>
  <si>
    <t>Vadodara</t>
  </si>
  <si>
    <t>lbw</t>
  </si>
  <si>
    <t>Mohali</t>
  </si>
  <si>
    <t>Mirpur</t>
  </si>
  <si>
    <t>bowled</t>
  </si>
  <si>
    <t>Bulawayo</t>
  </si>
  <si>
    <t>Harare</t>
  </si>
  <si>
    <t>Dambulla</t>
  </si>
  <si>
    <t>Visakhapatnam</t>
  </si>
  <si>
    <t>Bengaluru</t>
  </si>
  <si>
    <t>Delhi</t>
  </si>
  <si>
    <t>Ahmedabad</t>
  </si>
  <si>
    <t>Manchester</t>
  </si>
  <si>
    <t>Southampton</t>
  </si>
  <si>
    <t>The Oval</t>
  </si>
  <si>
    <t>Cardiff</t>
  </si>
  <si>
    <t>Hyderabad</t>
  </si>
  <si>
    <t>Wankhede</t>
  </si>
  <si>
    <t>Eden Gardens</t>
  </si>
  <si>
    <t>Melbourne</t>
  </si>
  <si>
    <t>Sydney</t>
  </si>
  <si>
    <t>W.A.C.A</t>
  </si>
  <si>
    <t>Adelaide</t>
  </si>
  <si>
    <t>Brisbane</t>
  </si>
  <si>
    <t>Colombo (RPS)</t>
  </si>
  <si>
    <t>Nagpur</t>
  </si>
  <si>
    <t>Pune</t>
  </si>
  <si>
    <t>Chennai</t>
  </si>
  <si>
    <t>Rajkot</t>
  </si>
  <si>
    <t>Kochi</t>
  </si>
  <si>
    <t>Ranchi</t>
  </si>
  <si>
    <t>Dharamsala</t>
  </si>
  <si>
    <t>Birmingham</t>
  </si>
  <si>
    <t>Jaipur</t>
  </si>
  <si>
    <t>stumped</t>
  </si>
  <si>
    <t>Fatullah</t>
  </si>
  <si>
    <t>Nottingham</t>
  </si>
  <si>
    <t>Leeds</t>
  </si>
  <si>
    <t>Hamilton</t>
  </si>
  <si>
    <t>Auckland</t>
  </si>
  <si>
    <t>Canberra</t>
  </si>
  <si>
    <t>Cuttack</t>
  </si>
  <si>
    <t>Kanpur</t>
  </si>
  <si>
    <t>Indore</t>
  </si>
  <si>
    <t>Guwahati</t>
  </si>
  <si>
    <t>Dublin (Malahide)</t>
  </si>
  <si>
    <t>Bristol</t>
  </si>
  <si>
    <t>Perth</t>
  </si>
  <si>
    <t>Dubai (DICS)</t>
  </si>
  <si>
    <t>Chattogram</t>
  </si>
  <si>
    <t>Pallekele</t>
  </si>
  <si>
    <t>Lucknow</t>
  </si>
  <si>
    <t>New York</t>
  </si>
  <si>
    <t>Bridgetown</t>
  </si>
  <si>
    <t>North Sound</t>
  </si>
  <si>
    <t>Gros Islet</t>
  </si>
  <si>
    <t>Providence</t>
  </si>
  <si>
    <t>v West Indies</t>
  </si>
  <si>
    <t>Kingston</t>
  </si>
  <si>
    <t>Roseau</t>
  </si>
  <si>
    <t>v Australia</t>
  </si>
  <si>
    <t>run out</t>
  </si>
  <si>
    <t>v New Zealand</t>
  </si>
  <si>
    <t>not out</t>
  </si>
  <si>
    <t>v England</t>
  </si>
  <si>
    <t>v South Africa</t>
  </si>
  <si>
    <t>Johannesburg</t>
  </si>
  <si>
    <t>Durban</t>
  </si>
  <si>
    <t>Wellington</t>
  </si>
  <si>
    <t>Lord's</t>
  </si>
  <si>
    <t>v Bangladesh</t>
  </si>
  <si>
    <t>v Sri Lanka</t>
  </si>
  <si>
    <t>Galle</t>
  </si>
  <si>
    <t>Colombo (PSS)</t>
  </si>
  <si>
    <t>Colombo (SSC)</t>
  </si>
  <si>
    <t>Port of Spain</t>
  </si>
  <si>
    <t>hit wicket</t>
  </si>
  <si>
    <t>Cape Town</t>
  </si>
  <si>
    <t>Christchurch</t>
  </si>
  <si>
    <t>v Zimbabwe</t>
  </si>
  <si>
    <t>v Afghanistan</t>
  </si>
  <si>
    <t>v Pakistan</t>
  </si>
  <si>
    <t>v U.A.E.</t>
  </si>
  <si>
    <t>Lauderhill</t>
  </si>
  <si>
    <t>Thiruvananthapuram</t>
  </si>
  <si>
    <t>v Ireland</t>
  </si>
  <si>
    <t>v Scotland</t>
  </si>
  <si>
    <t>v Hong Kong</t>
  </si>
  <si>
    <t>v Netherlands</t>
  </si>
  <si>
    <t>v U.S.A.</t>
  </si>
  <si>
    <t>Gqeberha</t>
  </si>
  <si>
    <t>Chester-le-Street</t>
  </si>
  <si>
    <t>Hobart</t>
  </si>
  <si>
    <t>Hambantota</t>
  </si>
  <si>
    <t>Napier</t>
  </si>
  <si>
    <t>Brabourne</t>
  </si>
  <si>
    <t>Mount Maunganui</t>
  </si>
  <si>
    <t>Paarl</t>
  </si>
  <si>
    <t>Raipur</t>
  </si>
  <si>
    <t>Test</t>
  </si>
  <si>
    <t>ODI</t>
  </si>
  <si>
    <t>T20I</t>
  </si>
  <si>
    <t>RUNS</t>
  </si>
  <si>
    <t>MINTUES PLAYED</t>
  </si>
  <si>
    <t>BALLS FACED</t>
  </si>
  <si>
    <t>FOURS</t>
  </si>
  <si>
    <t>SIXES</t>
  </si>
  <si>
    <t>STRIKERATE</t>
  </si>
  <si>
    <t>BAT POSTION</t>
  </si>
  <si>
    <t>TYPE OF DISMISSAL</t>
  </si>
  <si>
    <t>INNINGS</t>
  </si>
  <si>
    <t>OPPOSTION</t>
  </si>
  <si>
    <t>GROUND</t>
  </si>
  <si>
    <t>DATE</t>
  </si>
  <si>
    <t>FORMAT</t>
  </si>
  <si>
    <t>CENTURY</t>
  </si>
  <si>
    <t>FIFTY</t>
  </si>
  <si>
    <t>Match Number</t>
  </si>
  <si>
    <t>Sum of RUNS</t>
  </si>
  <si>
    <t>Row Labels</t>
  </si>
  <si>
    <t>Grand Total</t>
  </si>
  <si>
    <t>Count of CENTURY</t>
  </si>
  <si>
    <t>Count of FIFTY</t>
  </si>
  <si>
    <t>Sum of SIXES</t>
  </si>
  <si>
    <t>Sum of FOURS</t>
  </si>
  <si>
    <t>2009</t>
  </si>
  <si>
    <t>2010</t>
  </si>
  <si>
    <t>2011</t>
  </si>
  <si>
    <t>2012</t>
  </si>
  <si>
    <t>2013</t>
  </si>
  <si>
    <t>2014</t>
  </si>
  <si>
    <t>2015</t>
  </si>
  <si>
    <t>2016</t>
  </si>
  <si>
    <t>2017</t>
  </si>
  <si>
    <t>2018</t>
  </si>
  <si>
    <t>2019</t>
  </si>
  <si>
    <t>2020</t>
  </si>
  <si>
    <t>2021</t>
  </si>
  <si>
    <t>2022</t>
  </si>
  <si>
    <t>2023</t>
  </si>
  <si>
    <t>2024</t>
  </si>
  <si>
    <t>2025</t>
  </si>
  <si>
    <t>2026</t>
  </si>
  <si>
    <t>Sum of MINTUES PLAYED</t>
  </si>
  <si>
    <t>2008</t>
  </si>
  <si>
    <t>Average of STRIKERATE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</si>
</sst>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Light16"/>
  <colors>
    <mruColors>
      <color rgb="FF0000FF"/>
      <color rgb="FF8CFF01"/>
      <color rgb="FFF919C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 Dashboard.xlsx]Pivot!PivotTable1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solidFill>
                  <a:schemeClr val="bg1"/>
                </a:solidFill>
                <a:latin typeface="Bookman Old Style" panose="02050604050505020204" pitchFamily="18" charset="0"/>
              </a:rPr>
              <a:t>Total</a:t>
            </a:r>
            <a:r>
              <a:rPr lang="en-US" sz="1200" baseline="0">
                <a:solidFill>
                  <a:schemeClr val="bg1"/>
                </a:solidFill>
                <a:latin typeface="Bookman Old Style" panose="02050604050505020204" pitchFamily="18" charset="0"/>
              </a:rPr>
              <a:t> runs in each format</a:t>
            </a:r>
            <a:endParaRPr lang="en-US" sz="1200">
              <a:solidFill>
                <a:schemeClr val="bg1"/>
              </a:solidFill>
              <a:latin typeface="Bookman Old Style" panose="02050604050505020204" pitchFamily="18" charset="0"/>
            </a:endParaRPr>
          </a:p>
        </c:rich>
      </c:tx>
      <c:layout>
        <c:manualLayout>
          <c:xMode val="edge"/>
          <c:yMode val="edge"/>
          <c:x val="0.16129129625372496"/>
          <c:y val="0.1229401078388032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spPr>
          <a:solidFill>
            <a:srgbClr val="FF0000"/>
          </a:solidFill>
          <a:ln>
            <a:noFill/>
          </a:ln>
          <a:effectLst>
            <a:outerShdw blurRad="254000" sx="102000" sy="102000" algn="ctr" rotWithShape="0">
              <a:prstClr val="black">
                <a:alpha val="20000"/>
              </a:prstClr>
            </a:outerShdw>
          </a:effectLst>
        </c:spPr>
      </c:pivotFmt>
      <c:pivotFmt>
        <c:idx val="7"/>
        <c:spPr>
          <a:solidFill>
            <a:srgbClr val="0000FF"/>
          </a:solidFill>
          <a:ln>
            <a:noFill/>
          </a:ln>
          <a:effectLst>
            <a:outerShdw blurRad="254000" sx="102000" sy="102000" algn="ctr" rotWithShape="0">
              <a:prstClr val="black">
                <a:alpha val="20000"/>
              </a:prstClr>
            </a:outerShdw>
          </a:effectLst>
        </c:spPr>
      </c:pivotFmt>
      <c:pivotFmt>
        <c:idx val="8"/>
        <c:spPr>
          <a:solidFill>
            <a:srgbClr val="FFFF0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554002628020888"/>
          <c:y val="0.27666443338516855"/>
          <c:w val="0.47262669509914268"/>
          <c:h val="0.64484107853486849"/>
        </c:manualLayout>
      </c:layout>
      <c:doughnutChart>
        <c:varyColors val="1"/>
        <c:ser>
          <c:idx val="0"/>
          <c:order val="0"/>
          <c:tx>
            <c:strRef>
              <c:f>Pivot!$B$2</c:f>
              <c:strCache>
                <c:ptCount val="1"/>
                <c:pt idx="0">
                  <c:v>Total</c:v>
                </c:pt>
              </c:strCache>
            </c:strRef>
          </c:tx>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C0-4AFC-978E-E50096BBE384}"/>
              </c:ext>
            </c:extLst>
          </c:dPt>
          <c:dPt>
            <c:idx val="1"/>
            <c:bubble3D val="0"/>
            <c:spPr>
              <a:solidFill>
                <a:srgbClr val="0000F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C0-4AFC-978E-E50096BBE384}"/>
              </c:ext>
            </c:extLst>
          </c:dPt>
          <c:dPt>
            <c:idx val="2"/>
            <c:bubble3D val="0"/>
            <c:spPr>
              <a:solidFill>
                <a:srgbClr val="FFFF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2C0-4AFC-978E-E50096BBE38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Pivot!$A$3:$A$6</c:f>
              <c:strCache>
                <c:ptCount val="3"/>
                <c:pt idx="0">
                  <c:v>ODI</c:v>
                </c:pt>
                <c:pt idx="1">
                  <c:v>T20I</c:v>
                </c:pt>
                <c:pt idx="2">
                  <c:v>Test</c:v>
                </c:pt>
              </c:strCache>
            </c:strRef>
          </c:cat>
          <c:val>
            <c:numRef>
              <c:f>Pivot!$B$3:$B$6</c:f>
              <c:numCache>
                <c:formatCode>General</c:formatCode>
                <c:ptCount val="3"/>
                <c:pt idx="0">
                  <c:v>14014</c:v>
                </c:pt>
                <c:pt idx="1">
                  <c:v>4188</c:v>
                </c:pt>
                <c:pt idx="2">
                  <c:v>8776</c:v>
                </c:pt>
              </c:numCache>
            </c:numRef>
          </c:val>
          <c:extLst>
            <c:ext xmlns:c16="http://schemas.microsoft.com/office/drawing/2014/chart" uri="{C3380CC4-5D6E-409C-BE32-E72D297353CC}">
              <c16:uniqueId val="{00000000-51AF-424D-B775-2637B50CF0A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636219784883556"/>
          <c:y val="0.62788352634822708"/>
          <c:w val="0.20909186810077632"/>
          <c:h val="0.3337561752396686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 Dashboard.xlsx]Pivot!PivotTable2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Bookman Old Style" panose="02050604050505020204" pitchFamily="18" charset="0"/>
              </a:rPr>
              <a:t>six</a:t>
            </a:r>
            <a:r>
              <a:rPr lang="en-IN" baseline="0">
                <a:solidFill>
                  <a:schemeClr val="bg1"/>
                </a:solidFill>
                <a:latin typeface="Bookman Old Style" panose="02050604050505020204" pitchFamily="18" charset="0"/>
              </a:rPr>
              <a:t> and fours in each oppostion</a:t>
            </a:r>
            <a:endParaRPr lang="en-IN">
              <a:solidFill>
                <a:schemeClr val="bg1"/>
              </a:solidFill>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4754818773961"/>
          <c:y val="0.12647092121387865"/>
          <c:w val="0.70723162874707446"/>
          <c:h val="0.60203306208625218"/>
        </c:manualLayout>
      </c:layout>
      <c:barChart>
        <c:barDir val="col"/>
        <c:grouping val="clustered"/>
        <c:varyColors val="0"/>
        <c:ser>
          <c:idx val="0"/>
          <c:order val="0"/>
          <c:tx>
            <c:strRef>
              <c:f>Pivot!$E$2</c:f>
              <c:strCache>
                <c:ptCount val="1"/>
                <c:pt idx="0">
                  <c:v>Sum of SIXES</c:v>
                </c:pt>
              </c:strCache>
            </c:strRef>
          </c:tx>
          <c:spPr>
            <a:solidFill>
              <a:srgbClr val="0000FF"/>
            </a:solidFill>
            <a:ln>
              <a:noFill/>
            </a:ln>
            <a:effectLst/>
          </c:spPr>
          <c:invertIfNegative val="0"/>
          <c:cat>
            <c:strRef>
              <c:f>Pivot!$D$3:$D$19</c:f>
              <c:strCache>
                <c:ptCount val="16"/>
                <c:pt idx="0">
                  <c:v>v Afghanistan</c:v>
                </c:pt>
                <c:pt idx="1">
                  <c:v>v Australia</c:v>
                </c:pt>
                <c:pt idx="2">
                  <c:v>v Bangladesh</c:v>
                </c:pt>
                <c:pt idx="3">
                  <c:v>v England</c:v>
                </c:pt>
                <c:pt idx="4">
                  <c:v>v Hong Kong</c:v>
                </c:pt>
                <c:pt idx="5">
                  <c:v>v Ireland</c:v>
                </c:pt>
                <c:pt idx="6">
                  <c:v>v Netherlands</c:v>
                </c:pt>
                <c:pt idx="7">
                  <c:v>v New Zealand</c:v>
                </c:pt>
                <c:pt idx="8">
                  <c:v>v Pakistan</c:v>
                </c:pt>
                <c:pt idx="9">
                  <c:v>v Scotland</c:v>
                </c:pt>
                <c:pt idx="10">
                  <c:v>v South Africa</c:v>
                </c:pt>
                <c:pt idx="11">
                  <c:v>v Sri Lanka</c:v>
                </c:pt>
                <c:pt idx="12">
                  <c:v>v U.A.E.</c:v>
                </c:pt>
                <c:pt idx="13">
                  <c:v>v U.S.A.</c:v>
                </c:pt>
                <c:pt idx="14">
                  <c:v>v West Indies</c:v>
                </c:pt>
                <c:pt idx="15">
                  <c:v>v Zimbabwe</c:v>
                </c:pt>
              </c:strCache>
            </c:strRef>
          </c:cat>
          <c:val>
            <c:numRef>
              <c:f>Pivot!$E$3:$E$19</c:f>
              <c:numCache>
                <c:formatCode>General</c:formatCode>
                <c:ptCount val="16"/>
                <c:pt idx="0">
                  <c:v>9</c:v>
                </c:pt>
                <c:pt idx="1">
                  <c:v>57</c:v>
                </c:pt>
                <c:pt idx="2">
                  <c:v>18</c:v>
                </c:pt>
                <c:pt idx="3">
                  <c:v>34</c:v>
                </c:pt>
                <c:pt idx="4">
                  <c:v>3</c:v>
                </c:pt>
                <c:pt idx="5">
                  <c:v>1</c:v>
                </c:pt>
                <c:pt idx="6">
                  <c:v>3</c:v>
                </c:pt>
                <c:pt idx="7">
                  <c:v>38</c:v>
                </c:pt>
                <c:pt idx="8">
                  <c:v>18</c:v>
                </c:pt>
                <c:pt idx="9">
                  <c:v>0</c:v>
                </c:pt>
                <c:pt idx="10">
                  <c:v>44</c:v>
                </c:pt>
                <c:pt idx="11">
                  <c:v>37</c:v>
                </c:pt>
                <c:pt idx="12">
                  <c:v>0</c:v>
                </c:pt>
                <c:pt idx="13">
                  <c:v>0</c:v>
                </c:pt>
                <c:pt idx="14">
                  <c:v>43</c:v>
                </c:pt>
                <c:pt idx="15">
                  <c:v>3</c:v>
                </c:pt>
              </c:numCache>
            </c:numRef>
          </c:val>
          <c:extLst>
            <c:ext xmlns:c16="http://schemas.microsoft.com/office/drawing/2014/chart" uri="{C3380CC4-5D6E-409C-BE32-E72D297353CC}">
              <c16:uniqueId val="{00000000-B7BE-426C-96AC-967D21F0A2A3}"/>
            </c:ext>
          </c:extLst>
        </c:ser>
        <c:dLbls>
          <c:showLegendKey val="0"/>
          <c:showVal val="0"/>
          <c:showCatName val="0"/>
          <c:showSerName val="0"/>
          <c:showPercent val="0"/>
          <c:showBubbleSize val="0"/>
        </c:dLbls>
        <c:gapWidth val="219"/>
        <c:overlap val="-27"/>
        <c:axId val="764231264"/>
        <c:axId val="764231744"/>
      </c:barChart>
      <c:lineChart>
        <c:grouping val="standard"/>
        <c:varyColors val="0"/>
        <c:ser>
          <c:idx val="1"/>
          <c:order val="1"/>
          <c:tx>
            <c:strRef>
              <c:f>Pivot!$F$2</c:f>
              <c:strCache>
                <c:ptCount val="1"/>
                <c:pt idx="0">
                  <c:v>Sum of FOURS</c:v>
                </c:pt>
              </c:strCache>
            </c:strRef>
          </c:tx>
          <c:spPr>
            <a:ln w="28575" cap="rnd">
              <a:solidFill>
                <a:srgbClr val="FF0000"/>
              </a:solidFill>
              <a:round/>
            </a:ln>
            <a:effectLst/>
          </c:spPr>
          <c:marker>
            <c:symbol val="none"/>
          </c:marker>
          <c:cat>
            <c:strRef>
              <c:f>Pivot!$D$3:$D$19</c:f>
              <c:strCache>
                <c:ptCount val="16"/>
                <c:pt idx="0">
                  <c:v>v Afghanistan</c:v>
                </c:pt>
                <c:pt idx="1">
                  <c:v>v Australia</c:v>
                </c:pt>
                <c:pt idx="2">
                  <c:v>v Bangladesh</c:v>
                </c:pt>
                <c:pt idx="3">
                  <c:v>v England</c:v>
                </c:pt>
                <c:pt idx="4">
                  <c:v>v Hong Kong</c:v>
                </c:pt>
                <c:pt idx="5">
                  <c:v>v Ireland</c:v>
                </c:pt>
                <c:pt idx="6">
                  <c:v>v Netherlands</c:v>
                </c:pt>
                <c:pt idx="7">
                  <c:v>v New Zealand</c:v>
                </c:pt>
                <c:pt idx="8">
                  <c:v>v Pakistan</c:v>
                </c:pt>
                <c:pt idx="9">
                  <c:v>v Scotland</c:v>
                </c:pt>
                <c:pt idx="10">
                  <c:v>v South Africa</c:v>
                </c:pt>
                <c:pt idx="11">
                  <c:v>v Sri Lanka</c:v>
                </c:pt>
                <c:pt idx="12">
                  <c:v>v U.A.E.</c:v>
                </c:pt>
                <c:pt idx="13">
                  <c:v>v U.S.A.</c:v>
                </c:pt>
                <c:pt idx="14">
                  <c:v>v West Indies</c:v>
                </c:pt>
                <c:pt idx="15">
                  <c:v>v Zimbabwe</c:v>
                </c:pt>
              </c:strCache>
            </c:strRef>
          </c:cat>
          <c:val>
            <c:numRef>
              <c:f>Pivot!$F$3:$F$19</c:f>
              <c:numCache>
                <c:formatCode>General</c:formatCode>
                <c:ptCount val="16"/>
                <c:pt idx="0">
                  <c:v>32</c:v>
                </c:pt>
                <c:pt idx="1">
                  <c:v>503</c:v>
                </c:pt>
                <c:pt idx="2">
                  <c:v>160</c:v>
                </c:pt>
                <c:pt idx="3">
                  <c:v>419</c:v>
                </c:pt>
                <c:pt idx="4">
                  <c:v>1</c:v>
                </c:pt>
                <c:pt idx="5">
                  <c:v>8</c:v>
                </c:pt>
                <c:pt idx="6">
                  <c:v>10</c:v>
                </c:pt>
                <c:pt idx="7">
                  <c:v>294</c:v>
                </c:pt>
                <c:pt idx="8">
                  <c:v>118</c:v>
                </c:pt>
                <c:pt idx="9">
                  <c:v>0</c:v>
                </c:pt>
                <c:pt idx="10">
                  <c:v>338</c:v>
                </c:pt>
                <c:pt idx="11">
                  <c:v>355</c:v>
                </c:pt>
                <c:pt idx="12">
                  <c:v>5</c:v>
                </c:pt>
                <c:pt idx="13">
                  <c:v>0</c:v>
                </c:pt>
                <c:pt idx="14">
                  <c:v>372</c:v>
                </c:pt>
                <c:pt idx="15">
                  <c:v>29</c:v>
                </c:pt>
              </c:numCache>
            </c:numRef>
          </c:val>
          <c:smooth val="0"/>
          <c:extLst>
            <c:ext xmlns:c16="http://schemas.microsoft.com/office/drawing/2014/chart" uri="{C3380CC4-5D6E-409C-BE32-E72D297353CC}">
              <c16:uniqueId val="{00000001-B7BE-426C-96AC-967D21F0A2A3}"/>
            </c:ext>
          </c:extLst>
        </c:ser>
        <c:dLbls>
          <c:showLegendKey val="0"/>
          <c:showVal val="0"/>
          <c:showCatName val="0"/>
          <c:showSerName val="0"/>
          <c:showPercent val="0"/>
          <c:showBubbleSize val="0"/>
        </c:dLbls>
        <c:marker val="1"/>
        <c:smooth val="0"/>
        <c:axId val="764236544"/>
        <c:axId val="764236064"/>
      </c:lineChart>
      <c:catAx>
        <c:axId val="764231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4231744"/>
        <c:crosses val="autoZero"/>
        <c:auto val="1"/>
        <c:lblAlgn val="ctr"/>
        <c:lblOffset val="100"/>
        <c:noMultiLvlLbl val="0"/>
      </c:catAx>
      <c:valAx>
        <c:axId val="7642317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4231264"/>
        <c:crosses val="autoZero"/>
        <c:crossBetween val="between"/>
      </c:valAx>
      <c:valAx>
        <c:axId val="7642360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4236544"/>
        <c:crosses val="max"/>
        <c:crossBetween val="between"/>
      </c:valAx>
      <c:catAx>
        <c:axId val="764236544"/>
        <c:scaling>
          <c:orientation val="minMax"/>
        </c:scaling>
        <c:delete val="1"/>
        <c:axPos val="t"/>
        <c:numFmt formatCode="General" sourceLinked="1"/>
        <c:majorTickMark val="out"/>
        <c:minorTickMark val="none"/>
        <c:tickLblPos val="nextTo"/>
        <c:crossAx val="76423606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 Dashboard.xlsx]Pivot!PivotTable4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a:solidFill>
                  <a:schemeClr val="bg1"/>
                </a:solidFill>
                <a:latin typeface="Century Schoolbook" panose="02040604050505020304" pitchFamily="18" charset="0"/>
              </a:rPr>
              <a:t>Total</a:t>
            </a:r>
            <a:r>
              <a:rPr lang="en-US" sz="1100" b="1" i="0" baseline="0">
                <a:solidFill>
                  <a:schemeClr val="bg1"/>
                </a:solidFill>
                <a:latin typeface="Century Schoolbook" panose="02040604050505020304" pitchFamily="18" charset="0"/>
              </a:rPr>
              <a:t> runs in Each Year</a:t>
            </a:r>
            <a:endParaRPr lang="en-US" sz="1100" b="1" i="0">
              <a:solidFill>
                <a:schemeClr val="bg1"/>
              </a:solidFill>
              <a:latin typeface="Century Schoolbook" panose="02040604050505020304" pitchFamily="18" charset="0"/>
            </a:endParaRPr>
          </a:p>
        </c:rich>
      </c:tx>
      <c:layout>
        <c:manualLayout>
          <c:xMode val="edge"/>
          <c:yMode val="edge"/>
          <c:x val="0.4634449321769501"/>
          <c:y val="4.11321489037769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7567495704331"/>
          <c:y val="0.13238588632520068"/>
          <c:w val="0.74492249598226545"/>
          <c:h val="0.80458757352413812"/>
        </c:manualLayout>
      </c:layout>
      <c:barChart>
        <c:barDir val="bar"/>
        <c:grouping val="clustered"/>
        <c:varyColors val="0"/>
        <c:ser>
          <c:idx val="0"/>
          <c:order val="0"/>
          <c:tx>
            <c:strRef>
              <c:f>Pivot!$I$2</c:f>
              <c:strCache>
                <c:ptCount val="1"/>
                <c:pt idx="0">
                  <c:v>Total</c:v>
                </c:pt>
              </c:strCache>
            </c:strRef>
          </c:tx>
          <c:spPr>
            <a:solidFill>
              <a:srgbClr val="FF0000"/>
            </a:solidFill>
            <a:ln>
              <a:noFill/>
            </a:ln>
            <a:effectLst/>
          </c:spPr>
          <c:invertIfNegative val="0"/>
          <c:cat>
            <c:strRef>
              <c:f>Pivot!$H$3:$H$22</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Cache>
            </c:strRef>
          </c:cat>
          <c:val>
            <c:numRef>
              <c:f>Pivot!$I$3:$I$22</c:f>
              <c:numCache>
                <c:formatCode>General</c:formatCode>
                <c:ptCount val="19"/>
                <c:pt idx="0">
                  <c:v>105</c:v>
                </c:pt>
                <c:pt idx="1">
                  <c:v>271</c:v>
                </c:pt>
                <c:pt idx="2">
                  <c:v>842</c:v>
                </c:pt>
                <c:pt idx="3">
                  <c:v>1557</c:v>
                </c:pt>
                <c:pt idx="4">
                  <c:v>2186</c:v>
                </c:pt>
                <c:pt idx="5">
                  <c:v>1778</c:v>
                </c:pt>
                <c:pt idx="6">
                  <c:v>1925</c:v>
                </c:pt>
                <c:pt idx="7">
                  <c:v>1181</c:v>
                </c:pt>
                <c:pt idx="8">
                  <c:v>2569</c:v>
                </c:pt>
                <c:pt idx="9">
                  <c:v>2818</c:v>
                </c:pt>
                <c:pt idx="10">
                  <c:v>2718</c:v>
                </c:pt>
                <c:pt idx="11">
                  <c:v>2446</c:v>
                </c:pt>
                <c:pt idx="12">
                  <c:v>842</c:v>
                </c:pt>
                <c:pt idx="13">
                  <c:v>871</c:v>
                </c:pt>
                <c:pt idx="14">
                  <c:v>1319</c:v>
                </c:pt>
                <c:pt idx="15">
                  <c:v>2048</c:v>
                </c:pt>
                <c:pt idx="16">
                  <c:v>593</c:v>
                </c:pt>
                <c:pt idx="17">
                  <c:v>669</c:v>
                </c:pt>
                <c:pt idx="18">
                  <c:v>240</c:v>
                </c:pt>
              </c:numCache>
            </c:numRef>
          </c:val>
          <c:extLst>
            <c:ext xmlns:c16="http://schemas.microsoft.com/office/drawing/2014/chart" uri="{C3380CC4-5D6E-409C-BE32-E72D297353CC}">
              <c16:uniqueId val="{00000000-BCFB-4EC8-9BEE-7F8B29A04726}"/>
            </c:ext>
          </c:extLst>
        </c:ser>
        <c:dLbls>
          <c:showLegendKey val="0"/>
          <c:showVal val="0"/>
          <c:showCatName val="0"/>
          <c:showSerName val="0"/>
          <c:showPercent val="0"/>
          <c:showBubbleSize val="0"/>
        </c:dLbls>
        <c:gapWidth val="182"/>
        <c:axId val="649071392"/>
        <c:axId val="649071872"/>
      </c:barChart>
      <c:catAx>
        <c:axId val="649071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9071872"/>
        <c:crosses val="autoZero"/>
        <c:auto val="1"/>
        <c:lblAlgn val="ctr"/>
        <c:lblOffset val="100"/>
        <c:noMultiLvlLbl val="0"/>
      </c:catAx>
      <c:valAx>
        <c:axId val="6490718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907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 Dashboard.xlsx]Pivot!PivotTable3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Book Antiqua" panose="02040602050305030304" pitchFamily="18" charset="0"/>
              </a:rPr>
              <a:t>Total</a:t>
            </a:r>
            <a:r>
              <a:rPr lang="en-US" b="1" baseline="0">
                <a:solidFill>
                  <a:schemeClr val="bg1"/>
                </a:solidFill>
                <a:latin typeface="Book Antiqua" panose="02040602050305030304" pitchFamily="18" charset="0"/>
              </a:rPr>
              <a:t> runs in Each Country</a:t>
            </a:r>
            <a:endParaRPr lang="en-US" b="1">
              <a:solidFill>
                <a:schemeClr val="bg1"/>
              </a:solidFill>
              <a:latin typeface="Book Antiqua" panose="02040602050305030304" pitchFamily="18" charset="0"/>
            </a:endParaRPr>
          </a:p>
        </c:rich>
      </c:tx>
      <c:layout>
        <c:manualLayout>
          <c:xMode val="edge"/>
          <c:yMode val="edge"/>
          <c:x val="0.49172630021322933"/>
          <c:y val="9.99242918313858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c:f>
              <c:strCache>
                <c:ptCount val="1"/>
                <c:pt idx="0">
                  <c:v>Total</c:v>
                </c:pt>
              </c:strCache>
            </c:strRef>
          </c:tx>
          <c:spPr>
            <a:ln w="28575" cap="rnd">
              <a:solidFill>
                <a:srgbClr val="0000FF"/>
              </a:solidFill>
              <a:round/>
            </a:ln>
            <a:effectLst/>
          </c:spPr>
          <c:marker>
            <c:symbol val="none"/>
          </c:marker>
          <c:cat>
            <c:strRef>
              <c:f>Pivot!$A$10:$A$26</c:f>
              <c:strCache>
                <c:ptCount val="16"/>
                <c:pt idx="0">
                  <c:v>v Afghanistan</c:v>
                </c:pt>
                <c:pt idx="1">
                  <c:v>v Australia</c:v>
                </c:pt>
                <c:pt idx="2">
                  <c:v>v Bangladesh</c:v>
                </c:pt>
                <c:pt idx="3">
                  <c:v>v England</c:v>
                </c:pt>
                <c:pt idx="4">
                  <c:v>v Hong Kong</c:v>
                </c:pt>
                <c:pt idx="5">
                  <c:v>v Ireland</c:v>
                </c:pt>
                <c:pt idx="6">
                  <c:v>v Netherlands</c:v>
                </c:pt>
                <c:pt idx="7">
                  <c:v>v New Zealand</c:v>
                </c:pt>
                <c:pt idx="8">
                  <c:v>v Pakistan</c:v>
                </c:pt>
                <c:pt idx="9">
                  <c:v>v Scotland</c:v>
                </c:pt>
                <c:pt idx="10">
                  <c:v>v South Africa</c:v>
                </c:pt>
                <c:pt idx="11">
                  <c:v>v Sri Lanka</c:v>
                </c:pt>
                <c:pt idx="12">
                  <c:v>v U.A.E.</c:v>
                </c:pt>
                <c:pt idx="13">
                  <c:v>v U.S.A.</c:v>
                </c:pt>
                <c:pt idx="14">
                  <c:v>v West Indies</c:v>
                </c:pt>
                <c:pt idx="15">
                  <c:v>v Zimbabwe</c:v>
                </c:pt>
              </c:strCache>
            </c:strRef>
          </c:cat>
          <c:val>
            <c:numRef>
              <c:f>Pivot!$B$10:$B$26</c:f>
              <c:numCache>
                <c:formatCode>General</c:formatCode>
                <c:ptCount val="16"/>
                <c:pt idx="0">
                  <c:v>347</c:v>
                </c:pt>
                <c:pt idx="1">
                  <c:v>5399</c:v>
                </c:pt>
                <c:pt idx="2">
                  <c:v>1648</c:v>
                </c:pt>
                <c:pt idx="3">
                  <c:v>3926</c:v>
                </c:pt>
                <c:pt idx="4">
                  <c:v>59</c:v>
                </c:pt>
                <c:pt idx="5">
                  <c:v>88</c:v>
                </c:pt>
                <c:pt idx="6">
                  <c:v>125</c:v>
                </c:pt>
                <c:pt idx="7">
                  <c:v>2984</c:v>
                </c:pt>
                <c:pt idx="8">
                  <c:v>1252</c:v>
                </c:pt>
                <c:pt idx="9">
                  <c:v>2</c:v>
                </c:pt>
                <c:pt idx="10">
                  <c:v>3381</c:v>
                </c:pt>
                <c:pt idx="11">
                  <c:v>3733</c:v>
                </c:pt>
                <c:pt idx="12">
                  <c:v>33</c:v>
                </c:pt>
                <c:pt idx="13">
                  <c:v>0</c:v>
                </c:pt>
                <c:pt idx="14">
                  <c:v>3714</c:v>
                </c:pt>
                <c:pt idx="15">
                  <c:v>287</c:v>
                </c:pt>
              </c:numCache>
            </c:numRef>
          </c:val>
          <c:smooth val="0"/>
          <c:extLst>
            <c:ext xmlns:c16="http://schemas.microsoft.com/office/drawing/2014/chart" uri="{C3380CC4-5D6E-409C-BE32-E72D297353CC}">
              <c16:uniqueId val="{00000000-174A-455F-970A-11C3A67625C4}"/>
            </c:ext>
          </c:extLst>
        </c:ser>
        <c:dLbls>
          <c:showLegendKey val="0"/>
          <c:showVal val="0"/>
          <c:showCatName val="0"/>
          <c:showSerName val="0"/>
          <c:showPercent val="0"/>
          <c:showBubbleSize val="0"/>
        </c:dLbls>
        <c:smooth val="0"/>
        <c:axId val="687673424"/>
        <c:axId val="687676784"/>
      </c:lineChart>
      <c:catAx>
        <c:axId val="68767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7676784"/>
        <c:crosses val="autoZero"/>
        <c:auto val="1"/>
        <c:lblAlgn val="ctr"/>
        <c:lblOffset val="100"/>
        <c:noMultiLvlLbl val="0"/>
      </c:catAx>
      <c:valAx>
        <c:axId val="6876767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767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 Dashboard.xlsx]Pivot!PivotTable5</c:name>
    <c:fmtId val="3"/>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a:solidFill>
                  <a:schemeClr val="bg1"/>
                </a:solidFill>
                <a:latin typeface="Bookman Old Style" panose="02050604050505020204" pitchFamily="18" charset="0"/>
              </a:rPr>
              <a:t>Total</a:t>
            </a:r>
            <a:r>
              <a:rPr lang="en-US" sz="1200" baseline="0">
                <a:solidFill>
                  <a:schemeClr val="bg1"/>
                </a:solidFill>
                <a:latin typeface="Bookman Old Style" panose="02050604050505020204" pitchFamily="18" charset="0"/>
              </a:rPr>
              <a:t> Minutes                 played</a:t>
            </a:r>
            <a:endParaRPr lang="en-US" sz="1200">
              <a:solidFill>
                <a:schemeClr val="bg1"/>
              </a:solidFill>
              <a:latin typeface="Bookman Old Style" panose="02050604050505020204" pitchFamily="18" charset="0"/>
            </a:endParaRPr>
          </a:p>
        </c:rich>
      </c:tx>
      <c:layout>
        <c:manualLayout>
          <c:xMode val="edge"/>
          <c:yMode val="edge"/>
          <c:x val="0.2877352563974877"/>
          <c:y val="6.315786482369791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54907314149411"/>
          <c:y val="0.29948114235065237"/>
          <c:w val="0.78535155103168419"/>
          <c:h val="0.59499010358374205"/>
        </c:manualLayout>
      </c:layout>
      <c:pie3DChart>
        <c:varyColors val="1"/>
        <c:ser>
          <c:idx val="0"/>
          <c:order val="0"/>
          <c:tx>
            <c:strRef>
              <c:f>Pivot!$L$2</c:f>
              <c:strCache>
                <c:ptCount val="1"/>
                <c:pt idx="0">
                  <c:v>Total</c:v>
                </c:pt>
              </c:strCache>
            </c:strRef>
          </c:tx>
          <c:dPt>
            <c:idx val="0"/>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374-4B4C-BDBF-C61A65A08AE6}"/>
              </c:ext>
            </c:extLst>
          </c:dPt>
          <c:dPt>
            <c:idx val="1"/>
            <c:bubble3D val="0"/>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374-4B4C-BDBF-C61A65A08AE6}"/>
              </c:ext>
            </c:extLst>
          </c:dPt>
          <c:dPt>
            <c:idx val="2"/>
            <c:bubble3D val="0"/>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374-4B4C-BDBF-C61A65A08AE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Pivot!$K$3:$K$6</c:f>
              <c:strCache>
                <c:ptCount val="3"/>
                <c:pt idx="0">
                  <c:v>ODI</c:v>
                </c:pt>
                <c:pt idx="1">
                  <c:v>T20I</c:v>
                </c:pt>
                <c:pt idx="2">
                  <c:v>Test</c:v>
                </c:pt>
              </c:strCache>
            </c:strRef>
          </c:cat>
          <c:val>
            <c:numRef>
              <c:f>Pivot!$L$3:$L$6</c:f>
              <c:numCache>
                <c:formatCode>General</c:formatCode>
                <c:ptCount val="3"/>
                <c:pt idx="0">
                  <c:v>20059</c:v>
                </c:pt>
                <c:pt idx="1">
                  <c:v>4318</c:v>
                </c:pt>
                <c:pt idx="2">
                  <c:v>21357</c:v>
                </c:pt>
              </c:numCache>
            </c:numRef>
          </c:val>
          <c:extLst>
            <c:ext xmlns:c16="http://schemas.microsoft.com/office/drawing/2014/chart" uri="{C3380CC4-5D6E-409C-BE32-E72D297353CC}">
              <c16:uniqueId val="{00000006-7374-4B4C-BDBF-C61A65A08AE6}"/>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64998</xdr:rowOff>
    </xdr:from>
    <xdr:to>
      <xdr:col>26</xdr:col>
      <xdr:colOff>9895</xdr:colOff>
      <xdr:row>49</xdr:row>
      <xdr:rowOff>157925</xdr:rowOff>
    </xdr:to>
    <xdr:sp macro="" textlink="">
      <xdr:nvSpPr>
        <xdr:cNvPr id="2" name="Rectangle 1">
          <a:extLst>
            <a:ext uri="{FF2B5EF4-FFF2-40B4-BE49-F238E27FC236}">
              <a16:creationId xmlns:a16="http://schemas.microsoft.com/office/drawing/2014/main" id="{4178F74D-0C5A-B04A-94E9-ACF3B4DE8385}"/>
            </a:ext>
          </a:extLst>
        </xdr:cNvPr>
        <xdr:cNvSpPr/>
      </xdr:nvSpPr>
      <xdr:spPr>
        <a:xfrm>
          <a:off x="0" y="64998"/>
          <a:ext cx="15709970" cy="9251304"/>
        </a:xfrm>
        <a:prstGeom prst="rect">
          <a:avLst/>
        </a:prstGeom>
        <a:blipFill dpi="0" rotWithShape="1">
          <a:blip xmlns:r="http://schemas.openxmlformats.org/officeDocument/2006/relationships" r:embed="rId1">
            <a:alphaModFix amt="90000"/>
            <a:extLst>
              <a:ext uri="{BEBA8EAE-BF5A-486C-A8C5-ECC9F3942E4B}">
                <a14:imgProps xmlns:a14="http://schemas.microsoft.com/office/drawing/2010/main">
                  <a14:imgLayer r:embed="rId2">
                    <a14:imgEffect>
                      <a14:saturation sat="33000"/>
                    </a14:imgEffect>
                  </a14:imgLayer>
                </a14:imgProps>
              </a:ext>
              <a:ext uri="{28A0092B-C50C-407E-A947-70E740481C1C}">
                <a14:useLocalDpi xmlns:a14="http://schemas.microsoft.com/office/drawing/2010/main" val="0"/>
              </a:ext>
            </a:extLst>
          </a:blip>
          <a:srcRect/>
          <a:stretch>
            <a:fillRect/>
          </a:stretch>
        </a:blipFill>
        <a:ln/>
        <a:effectLst>
          <a:glow rad="101600">
            <a:schemeClr val="accent1">
              <a:satMod val="175000"/>
              <a:alpha val="40000"/>
            </a:schemeClr>
          </a:glow>
          <a:outerShdw blurRad="40000" dist="20000" dir="5400000" rotWithShape="0">
            <a:srgbClr val="000000">
              <a:alpha val="38000"/>
            </a:srgb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222301</xdr:colOff>
      <xdr:row>34</xdr:row>
      <xdr:rowOff>85441</xdr:rowOff>
    </xdr:from>
    <xdr:to>
      <xdr:col>16</xdr:col>
      <xdr:colOff>482954</xdr:colOff>
      <xdr:row>47</xdr:row>
      <xdr:rowOff>134923</xdr:rowOff>
    </xdr:to>
    <xdr:graphicFrame macro="">
      <xdr:nvGraphicFramePr>
        <xdr:cNvPr id="27" name="Chart 26">
          <a:extLst>
            <a:ext uri="{FF2B5EF4-FFF2-40B4-BE49-F238E27FC236}">
              <a16:creationId xmlns:a16="http://schemas.microsoft.com/office/drawing/2014/main" id="{ACA00C45-9C04-41FF-A3A4-4D57423A9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351905</xdr:colOff>
      <xdr:row>35</xdr:row>
      <xdr:rowOff>934</xdr:rowOff>
    </xdr:from>
    <xdr:to>
      <xdr:col>26</xdr:col>
      <xdr:colOff>267041</xdr:colOff>
      <xdr:row>48</xdr:row>
      <xdr:rowOff>177541</xdr:rowOff>
    </xdr:to>
    <xdr:graphicFrame macro="">
      <xdr:nvGraphicFramePr>
        <xdr:cNvPr id="28" name="Chart 27">
          <a:extLst>
            <a:ext uri="{FF2B5EF4-FFF2-40B4-BE49-F238E27FC236}">
              <a16:creationId xmlns:a16="http://schemas.microsoft.com/office/drawing/2014/main" id="{D488DDE4-0FFD-467F-AAE1-9A03B0B91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25188</xdr:colOff>
      <xdr:row>28</xdr:row>
      <xdr:rowOff>146536</xdr:rowOff>
    </xdr:from>
    <xdr:to>
      <xdr:col>10</xdr:col>
      <xdr:colOff>527403</xdr:colOff>
      <xdr:row>48</xdr:row>
      <xdr:rowOff>144639</xdr:rowOff>
    </xdr:to>
    <xdr:graphicFrame macro="">
      <xdr:nvGraphicFramePr>
        <xdr:cNvPr id="29" name="Chart 28">
          <a:extLst>
            <a:ext uri="{FF2B5EF4-FFF2-40B4-BE49-F238E27FC236}">
              <a16:creationId xmlns:a16="http://schemas.microsoft.com/office/drawing/2014/main" id="{F3DAD358-78D3-4B0A-9663-2DF8EAA53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300443</xdr:colOff>
      <xdr:row>18</xdr:row>
      <xdr:rowOff>14111</xdr:rowOff>
    </xdr:from>
    <xdr:to>
      <xdr:col>25</xdr:col>
      <xdr:colOff>478572</xdr:colOff>
      <xdr:row>34</xdr:row>
      <xdr:rowOff>107826</xdr:rowOff>
    </xdr:to>
    <xdr:graphicFrame macro="">
      <xdr:nvGraphicFramePr>
        <xdr:cNvPr id="30" name="Chart 29">
          <a:extLst>
            <a:ext uri="{FF2B5EF4-FFF2-40B4-BE49-F238E27FC236}">
              <a16:creationId xmlns:a16="http://schemas.microsoft.com/office/drawing/2014/main" id="{1A550213-0687-4B4C-B43B-CF0182183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33</xdr:row>
      <xdr:rowOff>132161</xdr:rowOff>
    </xdr:from>
    <xdr:to>
      <xdr:col>4</xdr:col>
      <xdr:colOff>197556</xdr:colOff>
      <xdr:row>48</xdr:row>
      <xdr:rowOff>89829</xdr:rowOff>
    </xdr:to>
    <xdr:graphicFrame macro="">
      <xdr:nvGraphicFramePr>
        <xdr:cNvPr id="31" name="Chart 30">
          <a:extLst>
            <a:ext uri="{FF2B5EF4-FFF2-40B4-BE49-F238E27FC236}">
              <a16:creationId xmlns:a16="http://schemas.microsoft.com/office/drawing/2014/main" id="{7338777C-631A-47AE-ABA6-97E670A3A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18297</xdr:colOff>
      <xdr:row>16</xdr:row>
      <xdr:rowOff>73394</xdr:rowOff>
    </xdr:from>
    <xdr:to>
      <xdr:col>4</xdr:col>
      <xdr:colOff>127000</xdr:colOff>
      <xdr:row>22</xdr:row>
      <xdr:rowOff>141111</xdr:rowOff>
    </xdr:to>
    <mc:AlternateContent xmlns:mc="http://schemas.openxmlformats.org/markup-compatibility/2006">
      <mc:Choice xmlns:a14="http://schemas.microsoft.com/office/drawing/2010/main" Requires="a14">
        <xdr:graphicFrame macro="">
          <xdr:nvGraphicFramePr>
            <xdr:cNvPr id="32" name="FORMAT">
              <a:extLst>
                <a:ext uri="{FF2B5EF4-FFF2-40B4-BE49-F238E27FC236}">
                  <a16:creationId xmlns:a16="http://schemas.microsoft.com/office/drawing/2014/main" id="{D334C90C-6A11-4918-BC82-63615AB5475A}"/>
                </a:ext>
              </a:extLst>
            </xdr:cNvPr>
            <xdr:cNvGraphicFramePr/>
          </xdr:nvGraphicFramePr>
          <xdr:xfrm>
            <a:off x="0" y="0"/>
            <a:ext cx="0" cy="0"/>
          </xdr:xfrm>
          <a:graphic>
            <a:graphicData uri="http://schemas.microsoft.com/office/drawing/2010/slicer">
              <sle:slicer xmlns:sle="http://schemas.microsoft.com/office/drawing/2010/slicer" name="FORMAT"/>
            </a:graphicData>
          </a:graphic>
        </xdr:graphicFrame>
      </mc:Choice>
      <mc:Fallback>
        <xdr:sp macro="" textlink="">
          <xdr:nvSpPr>
            <xdr:cNvPr id="0" name=""/>
            <xdr:cNvSpPr>
              <a:spLocks noTextEdit="1"/>
            </xdr:cNvSpPr>
          </xdr:nvSpPr>
          <xdr:spPr>
            <a:xfrm>
              <a:off x="18297" y="3067920"/>
              <a:ext cx="2568492" cy="1190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77273</xdr:colOff>
      <xdr:row>23</xdr:row>
      <xdr:rowOff>4222</xdr:rowOff>
    </xdr:from>
    <xdr:to>
      <xdr:col>4</xdr:col>
      <xdr:colOff>158750</xdr:colOff>
      <xdr:row>27</xdr:row>
      <xdr:rowOff>183710</xdr:rowOff>
    </xdr:to>
    <mc:AlternateContent xmlns:mc="http://schemas.openxmlformats.org/markup-compatibility/2006">
      <mc:Choice xmlns:a14="http://schemas.microsoft.com/office/drawing/2010/main" Requires="a14">
        <xdr:graphicFrame macro="">
          <xdr:nvGraphicFramePr>
            <xdr:cNvPr id="33" name="CENTURY">
              <a:extLst>
                <a:ext uri="{FF2B5EF4-FFF2-40B4-BE49-F238E27FC236}">
                  <a16:creationId xmlns:a16="http://schemas.microsoft.com/office/drawing/2014/main" id="{DE3747B1-8F02-4A7E-808D-E5CFCD58D915}"/>
                </a:ext>
              </a:extLst>
            </xdr:cNvPr>
            <xdr:cNvGraphicFramePr/>
          </xdr:nvGraphicFramePr>
          <xdr:xfrm>
            <a:off x="0" y="0"/>
            <a:ext cx="0" cy="0"/>
          </xdr:xfrm>
          <a:graphic>
            <a:graphicData uri="http://schemas.microsoft.com/office/drawing/2010/slicer">
              <sle:slicer xmlns:sle="http://schemas.microsoft.com/office/drawing/2010/slicer" name="CENTURY"/>
            </a:graphicData>
          </a:graphic>
        </xdr:graphicFrame>
      </mc:Choice>
      <mc:Fallback>
        <xdr:sp macro="" textlink="">
          <xdr:nvSpPr>
            <xdr:cNvPr id="0" name=""/>
            <xdr:cNvSpPr>
              <a:spLocks noTextEdit="1"/>
            </xdr:cNvSpPr>
          </xdr:nvSpPr>
          <xdr:spPr>
            <a:xfrm>
              <a:off x="77273" y="4308854"/>
              <a:ext cx="2541266" cy="928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14112</xdr:colOff>
      <xdr:row>0</xdr:row>
      <xdr:rowOff>70389</xdr:rowOff>
    </xdr:from>
    <xdr:to>
      <xdr:col>4</xdr:col>
      <xdr:colOff>98779</xdr:colOff>
      <xdr:row>16</xdr:row>
      <xdr:rowOff>98778</xdr:rowOff>
    </xdr:to>
    <mc:AlternateContent xmlns:mc="http://schemas.openxmlformats.org/markup-compatibility/2006">
      <mc:Choice xmlns:a14="http://schemas.microsoft.com/office/drawing/2010/main" Requires="a14">
        <xdr:graphicFrame macro="">
          <xdr:nvGraphicFramePr>
            <xdr:cNvPr id="34" name="OPPOSTION">
              <a:extLst>
                <a:ext uri="{FF2B5EF4-FFF2-40B4-BE49-F238E27FC236}">
                  <a16:creationId xmlns:a16="http://schemas.microsoft.com/office/drawing/2014/main" id="{8BB22C28-11A4-47D1-8051-90421F85D412}"/>
                </a:ext>
              </a:extLst>
            </xdr:cNvPr>
            <xdr:cNvGraphicFramePr/>
          </xdr:nvGraphicFramePr>
          <xdr:xfrm>
            <a:off x="0" y="0"/>
            <a:ext cx="0" cy="0"/>
          </xdr:xfrm>
          <a:graphic>
            <a:graphicData uri="http://schemas.microsoft.com/office/drawing/2010/slicer">
              <sle:slicer xmlns:sle="http://schemas.microsoft.com/office/drawing/2010/slicer" name="OPPOSTION"/>
            </a:graphicData>
          </a:graphic>
        </xdr:graphicFrame>
      </mc:Choice>
      <mc:Fallback>
        <xdr:sp macro="" textlink="">
          <xdr:nvSpPr>
            <xdr:cNvPr id="0" name=""/>
            <xdr:cNvSpPr>
              <a:spLocks noTextEdit="1"/>
            </xdr:cNvSpPr>
          </xdr:nvSpPr>
          <xdr:spPr>
            <a:xfrm>
              <a:off x="14112" y="70389"/>
              <a:ext cx="2544456" cy="3022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291557</xdr:colOff>
      <xdr:row>9</xdr:row>
      <xdr:rowOff>42398</xdr:rowOff>
    </xdr:from>
    <xdr:to>
      <xdr:col>7</xdr:col>
      <xdr:colOff>269875</xdr:colOff>
      <xdr:row>16</xdr:row>
      <xdr:rowOff>60983</xdr:rowOff>
    </xdr:to>
    <xdr:sp macro="" textlink="">
      <xdr:nvSpPr>
        <xdr:cNvPr id="50" name="Rectangle 49">
          <a:extLst>
            <a:ext uri="{FF2B5EF4-FFF2-40B4-BE49-F238E27FC236}">
              <a16:creationId xmlns:a16="http://schemas.microsoft.com/office/drawing/2014/main" id="{816447FB-83E1-B4C0-64B2-9C94074D2B4F}"/>
            </a:ext>
          </a:extLst>
        </xdr:cNvPr>
        <xdr:cNvSpPr/>
      </xdr:nvSpPr>
      <xdr:spPr>
        <a:xfrm>
          <a:off x="2704557" y="1756898"/>
          <a:ext cx="1788068" cy="135208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50">
              <a:ln w="0"/>
              <a:solidFill>
                <a:schemeClr val="bg2"/>
              </a:solidFill>
              <a:effectLst>
                <a:innerShdw blurRad="63500" dist="50800" dir="13500000">
                  <a:srgbClr val="000000">
                    <a:alpha val="50000"/>
                  </a:srgbClr>
                </a:innerShdw>
              </a:effectLst>
              <a:latin typeface="Bookman Old Style" panose="02050604050505020204" pitchFamily="18" charset="0"/>
            </a:rPr>
            <a:t>Total</a:t>
          </a:r>
          <a:r>
            <a:rPr lang="en-IN" sz="1800" b="1" cap="none" spc="50" baseline="0">
              <a:ln w="0"/>
              <a:solidFill>
                <a:schemeClr val="bg2"/>
              </a:solidFill>
              <a:effectLst>
                <a:innerShdw blurRad="63500" dist="50800" dir="13500000">
                  <a:srgbClr val="000000">
                    <a:alpha val="50000"/>
                  </a:srgbClr>
                </a:innerShdw>
              </a:effectLst>
              <a:latin typeface="Bookman Old Style" panose="02050604050505020204" pitchFamily="18" charset="0"/>
            </a:rPr>
            <a:t> Runs </a:t>
          </a:r>
          <a:endParaRPr lang="en-IN" sz="1800" b="1" cap="none" spc="50">
            <a:ln w="0"/>
            <a:solidFill>
              <a:schemeClr val="bg2"/>
            </a:solidFill>
            <a:effectLst>
              <a:innerShdw blurRad="63500" dist="50800" dir="13500000">
                <a:srgbClr val="000000">
                  <a:alpha val="50000"/>
                </a:srgbClr>
              </a:innerShdw>
            </a:effectLst>
            <a:latin typeface="Bookman Old Style" panose="02050604050505020204" pitchFamily="18" charset="0"/>
          </a:endParaRPr>
        </a:p>
      </xdr:txBody>
    </xdr:sp>
    <xdr:clientData/>
  </xdr:twoCellAnchor>
  <xdr:twoCellAnchor>
    <xdr:from>
      <xdr:col>7</xdr:col>
      <xdr:colOff>452437</xdr:colOff>
      <xdr:row>9</xdr:row>
      <xdr:rowOff>64698</xdr:rowOff>
    </xdr:from>
    <xdr:to>
      <xdr:col>10</xdr:col>
      <xdr:colOff>460374</xdr:colOff>
      <xdr:row>16</xdr:row>
      <xdr:rowOff>83283</xdr:rowOff>
    </xdr:to>
    <xdr:sp macro="" textlink="">
      <xdr:nvSpPr>
        <xdr:cNvPr id="51" name="Rectangle 50">
          <a:extLst>
            <a:ext uri="{FF2B5EF4-FFF2-40B4-BE49-F238E27FC236}">
              <a16:creationId xmlns:a16="http://schemas.microsoft.com/office/drawing/2014/main" id="{C551F4CC-735B-4F81-B37C-4E73C6E926A8}"/>
            </a:ext>
          </a:extLst>
        </xdr:cNvPr>
        <xdr:cNvSpPr/>
      </xdr:nvSpPr>
      <xdr:spPr>
        <a:xfrm>
          <a:off x="4730750" y="1707761"/>
          <a:ext cx="1841499" cy="129652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cap="none" spc="50">
              <a:ln w="0"/>
              <a:solidFill>
                <a:schemeClr val="bg2"/>
              </a:solidFill>
              <a:effectLst>
                <a:innerShdw blurRad="63500" dist="50800" dir="13500000">
                  <a:srgbClr val="000000">
                    <a:alpha val="50000"/>
                  </a:srgbClr>
                </a:innerShdw>
              </a:effectLst>
              <a:latin typeface="Bookman Old Style" panose="02050604050505020204" pitchFamily="18" charset="0"/>
              <a:ea typeface="+mn-ea"/>
              <a:cs typeface="+mn-cs"/>
            </a:rPr>
            <a:t>Total</a:t>
          </a:r>
          <a:r>
            <a:rPr lang="en-IN" sz="1800" b="1" cap="none" spc="50" baseline="0">
              <a:ln w="0"/>
              <a:solidFill>
                <a:schemeClr val="bg2"/>
              </a:solidFill>
              <a:effectLst>
                <a:innerShdw blurRad="63500" dist="50800" dir="13500000">
                  <a:srgbClr val="000000">
                    <a:alpha val="50000"/>
                  </a:srgbClr>
                </a:innerShdw>
              </a:effectLst>
              <a:latin typeface="Bookman Old Style" panose="02050604050505020204" pitchFamily="18" charset="0"/>
              <a:ea typeface="+mn-ea"/>
              <a:cs typeface="+mn-cs"/>
            </a:rPr>
            <a:t> 100's</a:t>
          </a:r>
          <a:endParaRPr lang="en-IN" sz="1100"/>
        </a:p>
      </xdr:txBody>
    </xdr:sp>
    <xdr:clientData/>
  </xdr:twoCellAnchor>
  <xdr:twoCellAnchor>
    <xdr:from>
      <xdr:col>16</xdr:col>
      <xdr:colOff>58349</xdr:colOff>
      <xdr:row>9</xdr:row>
      <xdr:rowOff>70556</xdr:rowOff>
    </xdr:from>
    <xdr:to>
      <xdr:col>18</xdr:col>
      <xdr:colOff>539439</xdr:colOff>
      <xdr:row>17</xdr:row>
      <xdr:rowOff>0</xdr:rowOff>
    </xdr:to>
    <xdr:sp macro="" textlink="">
      <xdr:nvSpPr>
        <xdr:cNvPr id="52" name="Rectangle 51">
          <a:extLst>
            <a:ext uri="{FF2B5EF4-FFF2-40B4-BE49-F238E27FC236}">
              <a16:creationId xmlns:a16="http://schemas.microsoft.com/office/drawing/2014/main" id="{BC01F684-7ADA-41FB-BB6B-8DF4FD839C3E}"/>
            </a:ext>
          </a:extLst>
        </xdr:cNvPr>
        <xdr:cNvSpPr/>
      </xdr:nvSpPr>
      <xdr:spPr>
        <a:xfrm>
          <a:off x="9766793" y="1721556"/>
          <a:ext cx="1694646" cy="13970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cap="none" spc="50">
              <a:ln w="0">
                <a:noFill/>
              </a:ln>
              <a:solidFill>
                <a:schemeClr val="bg2"/>
              </a:solidFill>
              <a:effectLst>
                <a:innerShdw blurRad="63500" dist="50800" dir="13500000">
                  <a:srgbClr val="000000">
                    <a:alpha val="50000"/>
                  </a:srgbClr>
                </a:innerShdw>
              </a:effectLst>
              <a:latin typeface="Bookman Old Style" panose="02050604050505020204" pitchFamily="18" charset="0"/>
              <a:ea typeface="+mn-ea"/>
              <a:cs typeface="+mn-cs"/>
            </a:rPr>
            <a:t>Strikerate</a:t>
          </a:r>
          <a:endParaRPr lang="en-IN" sz="2000" b="1" cap="none" spc="50">
            <a:ln w="0">
              <a:noFill/>
            </a:ln>
            <a:solidFill>
              <a:schemeClr val="bg2"/>
            </a:solidFill>
            <a:effectLst>
              <a:innerShdw blurRad="63500" dist="50800" dir="13500000">
                <a:srgbClr val="000000">
                  <a:alpha val="50000"/>
                </a:srgbClr>
              </a:innerShdw>
            </a:effectLst>
            <a:latin typeface="Bookman Old Style" panose="02050604050505020204" pitchFamily="18" charset="0"/>
          </a:endParaRPr>
        </a:p>
      </xdr:txBody>
    </xdr:sp>
    <xdr:clientData/>
  </xdr:twoCellAnchor>
  <xdr:twoCellAnchor>
    <xdr:from>
      <xdr:col>19</xdr:col>
      <xdr:colOff>340653</xdr:colOff>
      <xdr:row>9</xdr:row>
      <xdr:rowOff>112889</xdr:rowOff>
    </xdr:from>
    <xdr:to>
      <xdr:col>22</xdr:col>
      <xdr:colOff>210554</xdr:colOff>
      <xdr:row>17</xdr:row>
      <xdr:rowOff>28221</xdr:rowOff>
    </xdr:to>
    <xdr:sp macro="" textlink="">
      <xdr:nvSpPr>
        <xdr:cNvPr id="53" name="Rectangle 52">
          <a:extLst>
            <a:ext uri="{FF2B5EF4-FFF2-40B4-BE49-F238E27FC236}">
              <a16:creationId xmlns:a16="http://schemas.microsoft.com/office/drawing/2014/main" id="{501FEE02-E8E4-4FD1-AE8F-1E3FB16A5842}"/>
            </a:ext>
          </a:extLst>
        </xdr:cNvPr>
        <xdr:cNvSpPr/>
      </xdr:nvSpPr>
      <xdr:spPr>
        <a:xfrm>
          <a:off x="11869431" y="1763889"/>
          <a:ext cx="1690234" cy="138288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cap="none" spc="50">
              <a:ln w="0"/>
              <a:solidFill>
                <a:schemeClr val="bg2"/>
              </a:solidFill>
              <a:effectLst>
                <a:innerShdw blurRad="63500" dist="50800" dir="13500000">
                  <a:srgbClr val="000000">
                    <a:alpha val="50000"/>
                  </a:srgbClr>
                </a:innerShdw>
              </a:effectLst>
              <a:latin typeface="Bookman Old Style" panose="02050604050505020204" pitchFamily="18" charset="0"/>
              <a:ea typeface="+mn-ea"/>
              <a:cs typeface="+mn-cs"/>
            </a:rPr>
            <a:t>Total</a:t>
          </a:r>
          <a:r>
            <a:rPr lang="en-IN" sz="1800" b="1" cap="none" spc="50" baseline="0">
              <a:ln w="0"/>
              <a:solidFill>
                <a:schemeClr val="bg2"/>
              </a:solidFill>
              <a:effectLst>
                <a:innerShdw blurRad="63500" dist="50800" dir="13500000">
                  <a:srgbClr val="000000">
                    <a:alpha val="50000"/>
                  </a:srgbClr>
                </a:innerShdw>
              </a:effectLst>
              <a:latin typeface="Bookman Old Style" panose="02050604050505020204" pitchFamily="18" charset="0"/>
              <a:ea typeface="+mn-ea"/>
              <a:cs typeface="+mn-cs"/>
            </a:rPr>
            <a:t> SIX's</a:t>
          </a:r>
          <a:endParaRPr lang="en-IN" sz="1800" b="1" cap="none" spc="50">
            <a:ln w="0"/>
            <a:solidFill>
              <a:schemeClr val="bg2"/>
            </a:solidFill>
            <a:effectLst>
              <a:innerShdw blurRad="63500" dist="50800" dir="13500000">
                <a:srgbClr val="000000">
                  <a:alpha val="50000"/>
                </a:srgbClr>
              </a:innerShdw>
            </a:effectLst>
            <a:latin typeface="Bookman Old Style" panose="02050604050505020204" pitchFamily="18" charset="0"/>
          </a:endParaRPr>
        </a:p>
        <a:p>
          <a:pPr algn="l"/>
          <a:endParaRPr lang="en-IN" sz="1100"/>
        </a:p>
      </xdr:txBody>
    </xdr:sp>
    <xdr:clientData/>
  </xdr:twoCellAnchor>
  <xdr:twoCellAnchor>
    <xdr:from>
      <xdr:col>22</xdr:col>
      <xdr:colOff>506409</xdr:colOff>
      <xdr:row>9</xdr:row>
      <xdr:rowOff>84666</xdr:rowOff>
    </xdr:from>
    <xdr:to>
      <xdr:col>25</xdr:col>
      <xdr:colOff>376311</xdr:colOff>
      <xdr:row>17</xdr:row>
      <xdr:rowOff>56443</xdr:rowOff>
    </xdr:to>
    <xdr:sp macro="" textlink="">
      <xdr:nvSpPr>
        <xdr:cNvPr id="54" name="Rectangle 53">
          <a:extLst>
            <a:ext uri="{FF2B5EF4-FFF2-40B4-BE49-F238E27FC236}">
              <a16:creationId xmlns:a16="http://schemas.microsoft.com/office/drawing/2014/main" id="{26FA61B5-4665-4293-A57F-21F0515E63B3}"/>
            </a:ext>
          </a:extLst>
        </xdr:cNvPr>
        <xdr:cNvSpPr/>
      </xdr:nvSpPr>
      <xdr:spPr>
        <a:xfrm>
          <a:off x="13855520" y="1735666"/>
          <a:ext cx="1690235" cy="143933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cap="none" spc="50">
              <a:ln w="0"/>
              <a:solidFill>
                <a:schemeClr val="bg2"/>
              </a:solidFill>
              <a:effectLst>
                <a:innerShdw blurRad="63500" dist="50800" dir="13500000">
                  <a:srgbClr val="000000">
                    <a:alpha val="50000"/>
                  </a:srgbClr>
                </a:innerShdw>
              </a:effectLst>
              <a:latin typeface="Bookman Old Style" panose="02050604050505020204" pitchFamily="18" charset="0"/>
              <a:ea typeface="+mn-ea"/>
              <a:cs typeface="+mn-cs"/>
            </a:rPr>
            <a:t>Total</a:t>
          </a:r>
          <a:r>
            <a:rPr lang="en-IN" sz="1800" b="1" cap="none" spc="50" baseline="0">
              <a:ln w="0"/>
              <a:solidFill>
                <a:schemeClr val="bg2"/>
              </a:solidFill>
              <a:effectLst>
                <a:innerShdw blurRad="63500" dist="50800" dir="13500000">
                  <a:srgbClr val="000000">
                    <a:alpha val="50000"/>
                  </a:srgbClr>
                </a:innerShdw>
              </a:effectLst>
              <a:latin typeface="Bookman Old Style" panose="02050604050505020204" pitchFamily="18" charset="0"/>
              <a:ea typeface="+mn-ea"/>
              <a:cs typeface="+mn-cs"/>
            </a:rPr>
            <a:t> Four's</a:t>
          </a:r>
          <a:endParaRPr lang="en-IN" sz="1800" b="1" cap="none" spc="50">
            <a:ln w="0"/>
            <a:solidFill>
              <a:schemeClr val="bg2"/>
            </a:solidFill>
            <a:effectLst>
              <a:innerShdw blurRad="63500" dist="50800" dir="13500000">
                <a:srgbClr val="000000">
                  <a:alpha val="50000"/>
                </a:srgbClr>
              </a:innerShdw>
            </a:effectLst>
            <a:latin typeface="Bookman Old Style" panose="02050604050505020204" pitchFamily="18" charset="0"/>
          </a:endParaRPr>
        </a:p>
      </xdr:txBody>
    </xdr:sp>
    <xdr:clientData/>
  </xdr:twoCellAnchor>
  <xdr:oneCellAnchor>
    <xdr:from>
      <xdr:col>5</xdr:col>
      <xdr:colOff>47625</xdr:colOff>
      <xdr:row>13</xdr:row>
      <xdr:rowOff>95250</xdr:rowOff>
    </xdr:from>
    <xdr:ext cx="184731" cy="264560"/>
    <xdr:sp macro="" textlink="">
      <xdr:nvSpPr>
        <xdr:cNvPr id="56" name="TextBox 55">
          <a:extLst>
            <a:ext uri="{FF2B5EF4-FFF2-40B4-BE49-F238E27FC236}">
              <a16:creationId xmlns:a16="http://schemas.microsoft.com/office/drawing/2014/main" id="{850A650F-1C3C-1353-7A51-BD33FBFA2496}"/>
            </a:ext>
          </a:extLst>
        </xdr:cNvPr>
        <xdr:cNvSpPr txBox="1"/>
      </xdr:nvSpPr>
      <xdr:spPr>
        <a:xfrm>
          <a:off x="3103563" y="24685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xdr:col>
      <xdr:colOff>603254</xdr:colOff>
      <xdr:row>11</xdr:row>
      <xdr:rowOff>95251</xdr:rowOff>
    </xdr:from>
    <xdr:ext cx="1531938" cy="571500"/>
    <xdr:sp macro="" textlink="Pivot!L14">
      <xdr:nvSpPr>
        <xdr:cNvPr id="57" name="Rectangle 56">
          <a:extLst>
            <a:ext uri="{FF2B5EF4-FFF2-40B4-BE49-F238E27FC236}">
              <a16:creationId xmlns:a16="http://schemas.microsoft.com/office/drawing/2014/main" id="{D94623F0-DAA3-8E36-FC19-E8F6BAB5B058}"/>
            </a:ext>
          </a:extLst>
        </xdr:cNvPr>
        <xdr:cNvSpPr/>
      </xdr:nvSpPr>
      <xdr:spPr>
        <a:xfrm>
          <a:off x="4881567" y="2103439"/>
          <a:ext cx="1531938" cy="571500"/>
        </a:xfrm>
        <a:prstGeom prst="rect">
          <a:avLst/>
        </a:prstGeom>
        <a:noFill/>
      </xdr:spPr>
      <xdr:txBody>
        <a:bodyPr wrap="squar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fld id="{D188FDC9-CA74-4ADE-B58C-9C0E3E396887}" type="TxLink">
            <a:rPr lang="en-US" sz="3600" b="0" i="0" u="none" strike="noStrike" cap="none" spc="0">
              <a:ln/>
              <a:blipFill>
                <a:blip xmlns:r="http://schemas.openxmlformats.org/officeDocument/2006/relationships" r:embed="rId8"/>
                <a:tile tx="0" ty="0" sx="100000" sy="100000" flip="none" algn="tl"/>
              </a:blipFill>
              <a:effectLst/>
              <a:latin typeface="Arial Black" panose="020B0A04020102020204" pitchFamily="34" charset="0"/>
              <a:ea typeface="Calibri"/>
              <a:cs typeface="Calibri"/>
            </a:rPr>
            <a:t>590</a:t>
          </a:fld>
          <a:endParaRPr lang="en-US" sz="16600" b="0" cap="none" spc="0">
            <a:ln/>
            <a:blipFill>
              <a:blip xmlns:r="http://schemas.openxmlformats.org/officeDocument/2006/relationships" r:embed="rId8"/>
              <a:tile tx="0" ty="0" sx="100000" sy="100000" flip="none" algn="tl"/>
            </a:blipFill>
            <a:effectLst/>
            <a:latin typeface="Arial Black" panose="020B0A04020102020204" pitchFamily="34" charset="0"/>
          </a:endParaRPr>
        </a:p>
      </xdr:txBody>
    </xdr:sp>
    <xdr:clientData/>
  </xdr:oneCellAnchor>
  <xdr:oneCellAnchor>
    <xdr:from>
      <xdr:col>4</xdr:col>
      <xdr:colOff>383801</xdr:colOff>
      <xdr:row>11</xdr:row>
      <xdr:rowOff>166693</xdr:rowOff>
    </xdr:from>
    <xdr:ext cx="1732866" cy="690182"/>
    <xdr:sp macro="" textlink="Pivot!L11">
      <xdr:nvSpPr>
        <xdr:cNvPr id="58" name="Rectangle 57">
          <a:extLst>
            <a:ext uri="{FF2B5EF4-FFF2-40B4-BE49-F238E27FC236}">
              <a16:creationId xmlns:a16="http://schemas.microsoft.com/office/drawing/2014/main" id="{C00CE3F2-0B86-D80E-B06D-7223F7C01F6E}"/>
            </a:ext>
          </a:extLst>
        </xdr:cNvPr>
        <xdr:cNvSpPr/>
      </xdr:nvSpPr>
      <xdr:spPr>
        <a:xfrm>
          <a:off x="2810912" y="2184582"/>
          <a:ext cx="1732866" cy="690182"/>
        </a:xfrm>
        <a:prstGeom prst="rect">
          <a:avLst/>
        </a:prstGeom>
        <a:noFill/>
      </xdr:spPr>
      <xdr:txBody>
        <a:bodyPr wrap="squar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fld id="{6219310A-DBEF-46A4-A23C-B590D1325224}" type="TxLink">
            <a:rPr lang="en-US" sz="3600" b="1" i="0" u="none" strike="noStrike" cap="none" spc="0">
              <a:ln/>
              <a:blipFill>
                <a:blip xmlns:r="http://schemas.openxmlformats.org/officeDocument/2006/relationships" r:embed="rId8"/>
                <a:tile tx="0" ty="0" sx="100000" sy="100000" flip="none" algn="tl"/>
              </a:blipFill>
              <a:effectLst/>
              <a:latin typeface="Bookman Old Style" panose="02050604050505020204" pitchFamily="18" charset="0"/>
              <a:ea typeface="Calibri"/>
              <a:cs typeface="Calibri"/>
            </a:rPr>
            <a:t>26978</a:t>
          </a:fld>
          <a:endParaRPr lang="en-IN" sz="16600" b="1" cap="none" spc="0">
            <a:ln/>
            <a:blipFill>
              <a:blip xmlns:r="http://schemas.openxmlformats.org/officeDocument/2006/relationships" r:embed="rId8"/>
              <a:tile tx="0" ty="0" sx="100000" sy="100000" flip="none" algn="tl"/>
            </a:blipFill>
            <a:effectLst/>
            <a:latin typeface="Bookman Old Style" panose="02050604050505020204" pitchFamily="18" charset="0"/>
          </a:endParaRPr>
        </a:p>
      </xdr:txBody>
    </xdr:sp>
    <xdr:clientData/>
  </xdr:oneCellAnchor>
  <xdr:oneCellAnchor>
    <xdr:from>
      <xdr:col>16</xdr:col>
      <xdr:colOff>48140</xdr:colOff>
      <xdr:row>11</xdr:row>
      <xdr:rowOff>127814</xdr:rowOff>
    </xdr:from>
    <xdr:ext cx="1713482" cy="694485"/>
    <xdr:sp macro="" textlink="Pivot!L28">
      <xdr:nvSpPr>
        <xdr:cNvPr id="59" name="Rectangle 58">
          <a:extLst>
            <a:ext uri="{FF2B5EF4-FFF2-40B4-BE49-F238E27FC236}">
              <a16:creationId xmlns:a16="http://schemas.microsoft.com/office/drawing/2014/main" id="{73D3E342-B95B-61A0-4C3D-71A9BE6D9A7B}"/>
            </a:ext>
          </a:extLst>
        </xdr:cNvPr>
        <xdr:cNvSpPr/>
      </xdr:nvSpPr>
      <xdr:spPr>
        <a:xfrm>
          <a:off x="9700140" y="2223314"/>
          <a:ext cx="1713482" cy="694485"/>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fld id="{4A0E0F87-2CAE-474F-9113-6FD20736F50F}" type="TxLink">
            <a:rPr lang="en-US" sz="4000" b="1" i="0" u="none" strike="noStrike" cap="none" spc="0">
              <a:ln/>
              <a:blipFill>
                <a:blip xmlns:r="http://schemas.openxmlformats.org/officeDocument/2006/relationships" r:embed="rId8"/>
                <a:tile tx="0" ty="0" sx="100000" sy="100000" flip="none" algn="tl"/>
              </a:blipFill>
              <a:effectLst/>
              <a:latin typeface="Bookman Old Style" panose="02050604050505020204" pitchFamily="18" charset="0"/>
              <a:ea typeface="Calibri"/>
              <a:cs typeface="Calibri"/>
            </a:rPr>
            <a:t>77.86</a:t>
          </a:fld>
          <a:endParaRPr lang="en-IN" sz="59500" b="1" cap="none" spc="0">
            <a:ln/>
            <a:blipFill>
              <a:blip xmlns:r="http://schemas.openxmlformats.org/officeDocument/2006/relationships" r:embed="rId8"/>
              <a:tile tx="0" ty="0" sx="100000" sy="100000" flip="none" algn="tl"/>
            </a:blipFill>
            <a:effectLst/>
            <a:latin typeface="Bookman Old Style" panose="02050604050505020204" pitchFamily="18" charset="0"/>
          </a:endParaRPr>
        </a:p>
      </xdr:txBody>
    </xdr:sp>
    <xdr:clientData/>
  </xdr:oneCellAnchor>
  <xdr:oneCellAnchor>
    <xdr:from>
      <xdr:col>20</xdr:col>
      <xdr:colOff>7933</xdr:colOff>
      <xdr:row>11</xdr:row>
      <xdr:rowOff>140308</xdr:rowOff>
    </xdr:from>
    <xdr:ext cx="1254125" cy="694485"/>
    <xdr:sp macro="" textlink="Pivot!L12">
      <xdr:nvSpPr>
        <xdr:cNvPr id="60" name="Rectangle 59">
          <a:extLst>
            <a:ext uri="{FF2B5EF4-FFF2-40B4-BE49-F238E27FC236}">
              <a16:creationId xmlns:a16="http://schemas.microsoft.com/office/drawing/2014/main" id="{718BE464-E237-4F6D-A13B-160D7175684C}"/>
            </a:ext>
          </a:extLst>
        </xdr:cNvPr>
        <xdr:cNvSpPr/>
      </xdr:nvSpPr>
      <xdr:spPr>
        <a:xfrm>
          <a:off x="12143489" y="2158197"/>
          <a:ext cx="1254125" cy="694485"/>
        </a:xfrm>
        <a:prstGeom prst="rect">
          <a:avLst/>
        </a:prstGeom>
        <a:noFill/>
      </xdr:spPr>
      <xdr:txBody>
        <a:bodyPr wrap="squar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fld id="{5E6AF524-0A61-4E70-B5D3-9FF0B5E79FF0}" type="TxLink">
            <a:rPr lang="en-US" sz="4000" b="1" i="0" u="none" strike="noStrike" cap="none" spc="0">
              <a:ln/>
              <a:blipFill>
                <a:blip xmlns:r="http://schemas.openxmlformats.org/officeDocument/2006/relationships" r:embed="rId8"/>
                <a:tile tx="0" ty="0" sx="100000" sy="100000" flip="none" algn="tl"/>
              </a:blipFill>
              <a:effectLst/>
              <a:latin typeface="Bookman Old Style" panose="02050604050505020204" pitchFamily="18" charset="0"/>
              <a:ea typeface="Calibri"/>
              <a:cs typeface="Calibri"/>
            </a:rPr>
            <a:t>308</a:t>
          </a:fld>
          <a:endParaRPr lang="en-IN" sz="59500" b="1" cap="none" spc="0">
            <a:ln/>
            <a:blipFill>
              <a:blip xmlns:r="http://schemas.openxmlformats.org/officeDocument/2006/relationships" r:embed="rId8"/>
              <a:tile tx="0" ty="0" sx="100000" sy="100000" flip="none" algn="tl"/>
            </a:blipFill>
            <a:effectLst/>
            <a:latin typeface="Bookman Old Style" panose="02050604050505020204" pitchFamily="18" charset="0"/>
          </a:endParaRPr>
        </a:p>
      </xdr:txBody>
    </xdr:sp>
    <xdr:clientData/>
  </xdr:oneCellAnchor>
  <xdr:oneCellAnchor>
    <xdr:from>
      <xdr:col>23</xdr:col>
      <xdr:colOff>252417</xdr:colOff>
      <xdr:row>11</xdr:row>
      <xdr:rowOff>153649</xdr:rowOff>
    </xdr:from>
    <xdr:ext cx="1200521" cy="694485"/>
    <xdr:sp macro="" textlink="Pivot!L13">
      <xdr:nvSpPr>
        <xdr:cNvPr id="61" name="Rectangle 60">
          <a:extLst>
            <a:ext uri="{FF2B5EF4-FFF2-40B4-BE49-F238E27FC236}">
              <a16:creationId xmlns:a16="http://schemas.microsoft.com/office/drawing/2014/main" id="{2F6E536E-D300-4E51-8213-5D0208393AE9}"/>
            </a:ext>
          </a:extLst>
        </xdr:cNvPr>
        <xdr:cNvSpPr/>
      </xdr:nvSpPr>
      <xdr:spPr>
        <a:xfrm>
          <a:off x="14208306" y="2171538"/>
          <a:ext cx="1200521" cy="694485"/>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fld id="{5DED3AE5-6B01-4929-9DC2-3933CF354DA2}" type="TxLink">
            <a:rPr lang="en-US" sz="4000" b="1" i="0" u="none" strike="noStrike" cap="none" spc="0">
              <a:ln/>
              <a:blipFill>
                <a:blip xmlns:r="http://schemas.openxmlformats.org/officeDocument/2006/relationships" r:embed="rId8"/>
                <a:tile tx="0" ty="0" sx="100000" sy="100000" flip="none" algn="tl"/>
              </a:blipFill>
              <a:effectLst/>
              <a:latin typeface="Bookman Old Style" panose="02050604050505020204" pitchFamily="18" charset="0"/>
              <a:ea typeface="Calibri"/>
              <a:cs typeface="Calibri"/>
            </a:rPr>
            <a:t>2644</a:t>
          </a:fld>
          <a:endParaRPr lang="en-IN" sz="4000" b="1" cap="none" spc="0">
            <a:ln/>
            <a:blipFill>
              <a:blip xmlns:r="http://schemas.openxmlformats.org/officeDocument/2006/relationships" r:embed="rId8"/>
              <a:tile tx="0" ty="0" sx="100000" sy="100000" flip="none" algn="tl"/>
            </a:blipFill>
            <a:effectLst/>
            <a:latin typeface="Bookman Old Style" panose="02050604050505020204" pitchFamily="18" charset="0"/>
          </a:endParaRPr>
        </a:p>
      </xdr:txBody>
    </xdr:sp>
    <xdr:clientData/>
  </xdr:oneCellAnchor>
  <xdr:oneCellAnchor>
    <xdr:from>
      <xdr:col>4</xdr:col>
      <xdr:colOff>197556</xdr:colOff>
      <xdr:row>0</xdr:row>
      <xdr:rowOff>127001</xdr:rowOff>
    </xdr:from>
    <xdr:ext cx="3880555" cy="1030110"/>
    <xdr:sp macro="" textlink="">
      <xdr:nvSpPr>
        <xdr:cNvPr id="62" name="Rectangle 61">
          <a:extLst>
            <a:ext uri="{FF2B5EF4-FFF2-40B4-BE49-F238E27FC236}">
              <a16:creationId xmlns:a16="http://schemas.microsoft.com/office/drawing/2014/main" id="{1230864C-4679-3B25-0EB1-71ED7CD65703}"/>
            </a:ext>
          </a:extLst>
        </xdr:cNvPr>
        <xdr:cNvSpPr/>
      </xdr:nvSpPr>
      <xdr:spPr>
        <a:xfrm>
          <a:off x="2624667" y="127001"/>
          <a:ext cx="3880555" cy="1030110"/>
        </a:xfrm>
        <a:prstGeom prst="rect">
          <a:avLst/>
        </a:prstGeom>
        <a:noFill/>
      </xdr:spPr>
      <xdr:txBody>
        <a:bodyPr wrap="square" lIns="91440" tIns="45720" rIns="91440" bIns="45720">
          <a:noAutofit/>
          <a:scene3d>
            <a:camera prst="perspectiveFront"/>
            <a:lightRig rig="harsh" dir="t"/>
          </a:scene3d>
          <a:sp3d extrusionH="57150" prstMaterial="matte">
            <a:bevelT w="63500" h="12700" prst="softRound"/>
            <a:contourClr>
              <a:schemeClr val="bg1">
                <a:lumMod val="65000"/>
              </a:schemeClr>
            </a:contourClr>
          </a:sp3d>
        </a:bodyPr>
        <a:lstStyle/>
        <a:p>
          <a:pPr algn="ctr"/>
          <a:r>
            <a:rPr lang="en-US" sz="5400" b="1" cap="none" spc="0">
              <a:ln/>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10800000" scaled="1"/>
                <a:tileRect/>
              </a:gradFill>
              <a:effectLst>
                <a:glow rad="139700">
                  <a:schemeClr val="accent6">
                    <a:satMod val="175000"/>
                    <a:alpha val="40000"/>
                  </a:schemeClr>
                </a:glow>
                <a:outerShdw blurRad="50800" dist="38100" dir="18900000" algn="bl" rotWithShape="0">
                  <a:prstClr val="black">
                    <a:alpha val="40000"/>
                  </a:prstClr>
                </a:outerShdw>
              </a:effectLst>
            </a:rPr>
            <a:t>Virat</a:t>
          </a:r>
          <a:r>
            <a:rPr lang="en-US" sz="5400" b="1" cap="none" spc="0" baseline="0">
              <a:ln/>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10800000" scaled="1"/>
                <a:tileRect/>
              </a:gradFill>
              <a:effectLst>
                <a:glow rad="139700">
                  <a:schemeClr val="accent6">
                    <a:satMod val="175000"/>
                    <a:alpha val="40000"/>
                  </a:schemeClr>
                </a:glow>
                <a:outerShdw blurRad="50800" dist="38100" dir="18900000" algn="bl" rotWithShape="0">
                  <a:prstClr val="black">
                    <a:alpha val="40000"/>
                  </a:prstClr>
                </a:outerShdw>
              </a:effectLst>
            </a:rPr>
            <a:t> Kohli</a:t>
          </a:r>
          <a:endParaRPr lang="en-US" sz="5400" b="1" cap="none" spc="0">
            <a:ln/>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10800000" scaled="1"/>
              <a:tileRect/>
            </a:gradFill>
            <a:effectLst>
              <a:glow rad="139700">
                <a:schemeClr val="accent6">
                  <a:satMod val="175000"/>
                  <a:alpha val="40000"/>
                </a:schemeClr>
              </a:glow>
              <a:outerShdw blurRad="50800" dist="38100" dir="18900000" algn="bl" rotWithShape="0">
                <a:prstClr val="black">
                  <a:alpha val="40000"/>
                </a:prstClr>
              </a:outerShdw>
            </a:effectLst>
          </a:endParaRPr>
        </a:p>
      </xdr:txBody>
    </xdr:sp>
    <xdr:clientData/>
  </xdr:oneCellAnchor>
  <xdr:twoCellAnchor>
    <xdr:from>
      <xdr:col>26</xdr:col>
      <xdr:colOff>89027</xdr:colOff>
      <xdr:row>0</xdr:row>
      <xdr:rowOff>0</xdr:rowOff>
    </xdr:from>
    <xdr:to>
      <xdr:col>42</xdr:col>
      <xdr:colOff>468662</xdr:colOff>
      <xdr:row>54</xdr:row>
      <xdr:rowOff>12291</xdr:rowOff>
    </xdr:to>
    <xdr:sp macro="" textlink="">
      <xdr:nvSpPr>
        <xdr:cNvPr id="63" name="Rectangle 62">
          <a:extLst>
            <a:ext uri="{FF2B5EF4-FFF2-40B4-BE49-F238E27FC236}">
              <a16:creationId xmlns:a16="http://schemas.microsoft.com/office/drawing/2014/main" id="{8E30599E-1C38-09FF-E026-0303860A21BE}"/>
            </a:ext>
          </a:extLst>
        </xdr:cNvPr>
        <xdr:cNvSpPr/>
      </xdr:nvSpPr>
      <xdr:spPr>
        <a:xfrm>
          <a:off x="15789102" y="0"/>
          <a:ext cx="10041220" cy="1010519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noFill/>
            </a:ln>
          </a:endParaRPr>
        </a:p>
      </xdr:txBody>
    </xdr:sp>
    <xdr:clientData/>
  </xdr:twoCellAnchor>
  <xdr:twoCellAnchor>
    <xdr:from>
      <xdr:col>0</xdr:col>
      <xdr:colOff>14378</xdr:colOff>
      <xdr:row>50</xdr:row>
      <xdr:rowOff>60139</xdr:rowOff>
    </xdr:from>
    <xdr:to>
      <xdr:col>43</xdr:col>
      <xdr:colOff>522379</xdr:colOff>
      <xdr:row>78</xdr:row>
      <xdr:rowOff>17806</xdr:rowOff>
    </xdr:to>
    <xdr:sp macro="" textlink="">
      <xdr:nvSpPr>
        <xdr:cNvPr id="64" name="Rectangle 63">
          <a:extLst>
            <a:ext uri="{FF2B5EF4-FFF2-40B4-BE49-F238E27FC236}">
              <a16:creationId xmlns:a16="http://schemas.microsoft.com/office/drawing/2014/main" id="{81E1B402-4D05-8193-EBA3-AC7961FBB812}"/>
            </a:ext>
          </a:extLst>
        </xdr:cNvPr>
        <xdr:cNvSpPr/>
      </xdr:nvSpPr>
      <xdr:spPr>
        <a:xfrm>
          <a:off x="14378" y="9405422"/>
          <a:ext cx="26473510" cy="5191026"/>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0</xdr:col>
      <xdr:colOff>431321</xdr:colOff>
      <xdr:row>4</xdr:row>
      <xdr:rowOff>115018</xdr:rowOff>
    </xdr:from>
    <xdr:ext cx="8295736" cy="393441"/>
    <xdr:sp macro="" textlink="">
      <xdr:nvSpPr>
        <xdr:cNvPr id="65" name="Rectangle 64">
          <a:extLst>
            <a:ext uri="{FF2B5EF4-FFF2-40B4-BE49-F238E27FC236}">
              <a16:creationId xmlns:a16="http://schemas.microsoft.com/office/drawing/2014/main" id="{F90C41A0-4D90-F0AD-65B6-6D249FDD0E95}"/>
            </a:ext>
          </a:extLst>
        </xdr:cNvPr>
        <xdr:cNvSpPr/>
      </xdr:nvSpPr>
      <xdr:spPr>
        <a:xfrm>
          <a:off x="431321" y="862641"/>
          <a:ext cx="8295736" cy="393441"/>
        </a:xfrm>
        <a:prstGeom prst="rect">
          <a:avLst/>
        </a:prstGeom>
        <a:noFill/>
      </xdr:spPr>
      <xdr:txBody>
        <a:bodyPr wrap="square" lIns="91440" tIns="45720" rIns="91440" bIns="45720">
          <a:spAutoFit/>
        </a:bodyPr>
        <a:lstStyle/>
        <a:p>
          <a:pPr algn="ctr"/>
          <a:r>
            <a:rPr lang="en-US" sz="2000" b="1" cap="none" spc="50">
              <a:ln w="0"/>
              <a:solidFill>
                <a:schemeClr val="bg2"/>
              </a:solidFill>
              <a:effectLst>
                <a:innerShdw blurRad="63500" dist="50800" dir="13500000">
                  <a:srgbClr val="000000">
                    <a:alpha val="50000"/>
                  </a:srgbClr>
                </a:innerShdw>
              </a:effectLst>
              <a:latin typeface="Bookman Old Style" panose="02050604050505020204" pitchFamily="18" charset="0"/>
            </a:rPr>
            <a:t>Right</a:t>
          </a:r>
          <a:r>
            <a:rPr lang="en-US" sz="2000" b="1" cap="none" spc="50" baseline="0">
              <a:ln w="0"/>
              <a:solidFill>
                <a:schemeClr val="bg2"/>
              </a:solidFill>
              <a:effectLst>
                <a:innerShdw blurRad="63500" dist="50800" dir="13500000">
                  <a:srgbClr val="000000">
                    <a:alpha val="50000"/>
                  </a:srgbClr>
                </a:innerShdw>
              </a:effectLst>
              <a:latin typeface="Bookman Old Style" panose="02050604050505020204" pitchFamily="18" charset="0"/>
            </a:rPr>
            <a:t> Hand Batsman</a:t>
          </a:r>
          <a:endParaRPr lang="en-US" sz="2000" b="1" cap="none" spc="50">
            <a:ln w="0"/>
            <a:solidFill>
              <a:schemeClr val="bg2"/>
            </a:solidFill>
            <a:effectLst>
              <a:innerShdw blurRad="63500" dist="50800" dir="13500000">
                <a:srgbClr val="000000">
                  <a:alpha val="50000"/>
                </a:srgbClr>
              </a:innerShdw>
            </a:effectLst>
            <a:latin typeface="Bookman Old Style" panose="02050604050505020204"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aragaonkar" refreshedDate="46063.673655787039" createdVersion="8" refreshedVersion="8" minRefreshableVersion="3" recordCount="590" xr:uid="{347FAD3A-C913-4FF0-8375-BA29EF3058A6}">
  <cacheSource type="worksheet">
    <worksheetSource ref="A1:P591" sheet="dataset"/>
  </cacheSource>
  <cacheFields count="19">
    <cacheField name="Match Number" numFmtId="0">
      <sharedItems containsSemiMixedTypes="0" containsString="0" containsNumber="1" containsInteger="1" minValue="1" maxValue="590" count="59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sharedItems>
    </cacheField>
    <cacheField name="RUNS" numFmtId="0">
      <sharedItems containsSemiMixedTypes="0" containsString="0" containsNumber="1" containsInteger="1" minValue="0" maxValue="254" count="147">
        <n v="12"/>
        <n v="37"/>
        <n v="25"/>
        <n v="31"/>
        <n v="2"/>
        <n v="16"/>
        <n v="79"/>
        <n v="30"/>
        <n v="10"/>
        <n v="27"/>
        <n v="107"/>
        <n v="9"/>
        <n v="91"/>
        <n v="102"/>
        <n v="57"/>
        <n v="0"/>
        <n v="82"/>
        <n v="68"/>
        <n v="26"/>
        <n v="11"/>
        <n v="28"/>
        <n v="118"/>
        <n v="105"/>
        <n v="63"/>
        <n v="54"/>
        <n v="22"/>
        <n v="100"/>
        <n v="8"/>
        <n v="34"/>
        <n v="1"/>
        <n v="59"/>
        <n v="24"/>
        <n v="35"/>
        <n v="14"/>
        <n v="81"/>
        <n v="94"/>
        <n v="4"/>
        <n v="15"/>
        <n v="55"/>
        <n v="7"/>
        <n v="112"/>
        <n v="86"/>
        <n v="52"/>
        <n v="3"/>
        <n v="117"/>
        <n v="20"/>
        <n v="23"/>
        <n v="80"/>
        <n v="44"/>
        <n v="75"/>
        <n v="116"/>
        <n v="77"/>
        <n v="18"/>
        <n v="66"/>
        <n v="21"/>
        <n v="133"/>
        <n v="108"/>
        <n v="183"/>
        <n v="106"/>
        <n v="38"/>
        <n v="128"/>
        <n v="58"/>
        <n v="103"/>
        <n v="51"/>
        <n v="70"/>
        <n v="50"/>
        <n v="40"/>
        <n v="78"/>
        <n v="19"/>
        <n v="6"/>
        <n v="41"/>
        <n v="43"/>
        <n v="115"/>
        <n v="29"/>
        <n v="61"/>
        <n v="99"/>
        <n v="119"/>
        <n v="96"/>
        <n v="46"/>
        <n v="123"/>
        <n v="67"/>
        <n v="136"/>
        <n v="5"/>
        <n v="36"/>
        <n v="72"/>
        <n v="39"/>
        <n v="13"/>
        <n v="62"/>
        <n v="139"/>
        <n v="141"/>
        <n v="169"/>
        <n v="147"/>
        <n v="33"/>
        <n v="138"/>
        <n v="90"/>
        <n v="49"/>
        <n v="56"/>
        <n v="89"/>
        <n v="200"/>
        <n v="45"/>
        <n v="211"/>
        <n v="85"/>
        <n v="154"/>
        <n v="65"/>
        <n v="167"/>
        <n v="235"/>
        <n v="122"/>
        <n v="204"/>
        <n v="76"/>
        <n v="32"/>
        <n v="87"/>
        <n v="111"/>
        <n v="42"/>
        <n v="131"/>
        <n v="110"/>
        <n v="92"/>
        <n v="121"/>
        <n v="113"/>
        <n v="104"/>
        <n v="213"/>
        <n v="243"/>
        <n v="153"/>
        <n v="160"/>
        <n v="129"/>
        <n v="47"/>
        <n v="71"/>
        <n v="149"/>
        <n v="17"/>
        <n v="97"/>
        <n v="140"/>
        <n v="157"/>
        <n v="60"/>
        <n v="120"/>
        <n v="114"/>
        <n v="254"/>
        <n v="74"/>
        <n v="73"/>
        <n v="64"/>
        <n v="166"/>
        <n v="186"/>
        <n v="95"/>
        <n v="88"/>
        <n v="101"/>
        <n v="84"/>
        <n v="135"/>
        <n v="93"/>
        <n v="124"/>
      </sharedItems>
    </cacheField>
    <cacheField name="MINTUES PLAYED" numFmtId="0">
      <sharedItems containsMixedTypes="1" containsNumber="1" containsInteger="1" minValue="1" maxValue="536" count="208">
        <n v="33"/>
        <n v="82"/>
        <n v="40"/>
        <n v="45"/>
        <n v="6"/>
        <n v="28"/>
        <n v="121"/>
        <n v="53"/>
        <n v="32"/>
        <n v="20"/>
        <n v="100"/>
        <n v="19"/>
        <n v="136"/>
        <n v="128"/>
        <n v="30"/>
        <n v="25"/>
        <n v="3"/>
        <n v="125"/>
        <n v="123"/>
        <n v="35"/>
        <n v="13"/>
        <n v="57"/>
        <n v="5"/>
        <n v="98"/>
        <n v="193"/>
        <n v="162"/>
        <n v="83"/>
        <n v="10"/>
        <n v="122"/>
        <n v="43"/>
        <n v="51"/>
        <n v="11"/>
        <n v="113"/>
        <n v="12"/>
        <n v="16"/>
        <n v="2"/>
        <n v="38"/>
        <n v="69"/>
        <n v="15"/>
        <n v="118"/>
        <n v="1"/>
        <n v="68"/>
        <n v="135"/>
        <n v="72"/>
        <n v="62"/>
        <n v="92"/>
        <n v="9"/>
        <n v="18"/>
        <n v="102"/>
        <n v="70"/>
        <n v="134"/>
        <n v="42"/>
        <n v="50"/>
        <n v="21"/>
        <n v="154"/>
        <n v="99"/>
        <n v="107"/>
        <n v="191"/>
        <n v="237"/>
        <n v="96"/>
        <n v="29"/>
        <n v="156"/>
        <n v="41"/>
        <n v="44"/>
        <n v="116"/>
        <n v="36"/>
        <n v="133"/>
        <n v="148"/>
        <n v="126"/>
        <n v="211"/>
        <n v="158"/>
        <n v="80"/>
        <n v="187"/>
        <n v="65"/>
        <n v="143"/>
        <n v="284"/>
        <n v="130"/>
        <n v="67"/>
        <n v="60"/>
        <n v="61"/>
        <n v="17"/>
        <n v="31"/>
        <n v="86"/>
        <n v="356"/>
        <n v="110"/>
        <n v="266"/>
        <n v="76"/>
        <n v="46"/>
        <n v="66"/>
        <n v="120"/>
        <n v="8"/>
        <n v="26"/>
        <n v="104"/>
        <n v="4"/>
        <n v="159"/>
        <n v="7"/>
        <n v="257"/>
        <n v="254"/>
        <n v="114"/>
        <n v="179"/>
        <n v="14"/>
        <n v="129"/>
        <n v="131"/>
        <n v="195"/>
        <n v="157"/>
        <n v="23"/>
        <n v="75"/>
        <n v="39"/>
        <n v="119"/>
        <n v="77"/>
        <n v="34"/>
        <n v="54"/>
        <n v="124"/>
        <n v="109"/>
        <n v="192"/>
        <n v="267"/>
        <n v="279"/>
        <n v="380"/>
        <n v="315"/>
        <n v="24"/>
        <n v="168"/>
        <n v="106"/>
        <n v="49"/>
        <n v="64"/>
        <n v="71"/>
        <n v="55"/>
        <n v="178"/>
        <n v="87"/>
        <n v="58"/>
        <n v="155"/>
        <n v="202"/>
        <n v="73"/>
        <n v="74"/>
        <n v="84"/>
        <n v="174"/>
        <n v="85"/>
        <n v="37"/>
        <n v="78"/>
        <n v="63"/>
        <n v="375"/>
        <n v="144"/>
        <n v="536"/>
        <n v="152"/>
        <n v="401"/>
        <n v="172"/>
        <n v="161"/>
        <n v="515"/>
        <n v="147"/>
        <n v="81"/>
        <n v="295"/>
        <n v="108"/>
        <n v="146"/>
        <n v="180"/>
        <n v="203"/>
        <n v="166"/>
        <n v="59"/>
        <n v="208"/>
        <n v="386"/>
        <n v="447"/>
        <n v="89"/>
        <n v="379"/>
        <n v="22"/>
        <n v="164"/>
        <n v="220"/>
        <n v="277"/>
        <n v="185"/>
        <n v="243"/>
        <n v="292"/>
        <n v="170"/>
        <n v="112"/>
        <n v="341"/>
        <n v="217"/>
        <n v="132"/>
        <n v="373"/>
        <n v="305"/>
        <n v="150"/>
        <s v="-"/>
        <n v="94"/>
        <n v="90"/>
        <n v="105"/>
        <n v="103"/>
        <n v="127"/>
        <n v="250"/>
        <n v="88"/>
        <n v="244"/>
        <n v="153"/>
        <n v="200"/>
        <n v="196"/>
        <n v="173"/>
        <n v="111"/>
        <n v="273"/>
        <n v="79"/>
        <n v="27"/>
        <n v="47"/>
        <n v="56"/>
        <n v="91"/>
        <n v="117"/>
        <n v="517"/>
        <n v="115"/>
        <n v="262"/>
        <n v="272"/>
        <n v="171"/>
        <n v="139"/>
        <n v="149"/>
        <n v="137"/>
        <n v="226"/>
        <n v="101"/>
        <n v="151"/>
      </sharedItems>
    </cacheField>
    <cacheField name="BALLS FACED" numFmtId="0">
      <sharedItems containsSemiMixedTypes="0" containsString="0" containsNumber="1" containsInteger="1" minValue="0" maxValue="366"/>
    </cacheField>
    <cacheField name="FOURS" numFmtId="0">
      <sharedItems containsSemiMixedTypes="0" containsString="0" containsNumber="1" containsInteger="1" minValue="0" maxValue="33"/>
    </cacheField>
    <cacheField name="SIXES" numFmtId="0">
      <sharedItems containsSemiMixedTypes="0" containsString="0" containsNumber="1" containsInteger="1" minValue="0" maxValue="8"/>
    </cacheField>
    <cacheField name="STRIKERATE" numFmtId="0">
      <sharedItems containsMixedTypes="1" containsNumber="1" minValue="0" maxValue="241.37" count="411">
        <n v="54.54"/>
        <n v="55.22"/>
        <n v="65.78"/>
        <n v="67.39"/>
        <n v="100"/>
        <n v="66.66"/>
        <n v="75.959999999999994"/>
        <n v="73.17"/>
        <n v="62.5"/>
        <n v="142.1"/>
        <n v="93.85"/>
        <n v="75"/>
        <n v="89.21"/>
        <n v="107.36"/>
        <n v="25"/>
        <n v="80.28"/>
        <s v="-"/>
        <n v="89.13"/>
        <n v="71.569999999999993"/>
        <n v="123.8"/>
        <n v="50"/>
        <n v="71.42"/>
        <n v="82.35"/>
        <n v="0"/>
        <n v="64.91"/>
        <n v="97.52"/>
        <n v="100.96"/>
        <n v="90"/>
        <n v="147.36000000000001"/>
        <n v="77.14"/>
        <n v="64.7"/>
        <n v="68.290000000000006"/>
        <n v="33.33"/>
        <n v="120.48"/>
        <n v="160"/>
        <n v="64.150000000000006"/>
        <n v="60"/>
        <n v="77.63"/>
        <n v="72.72"/>
        <n v="42.85"/>
        <n v="116.66"/>
        <n v="78.64"/>
        <n v="90.38"/>
        <n v="40"/>
        <n v="27.77"/>
        <n v="25.23"/>
        <n v="56.6"/>
        <n v="80"/>
        <n v="75.34"/>
        <n v="38.880000000000003"/>
        <n v="44.44"/>
        <n v="115.05"/>
        <n v="58.73"/>
        <n v="114.28"/>
        <n v="86.86"/>
        <n v="93.75"/>
        <n v="46.84"/>
        <n v="55.26"/>
        <n v="95.12"/>
        <n v="209.09"/>
        <n v="94.11"/>
        <n v="52.38"/>
        <n v="56.09"/>
        <n v="37.5"/>
        <n v="54.32"/>
        <n v="55.14"/>
        <n v="54.46"/>
        <n v="35.479999999999997"/>
        <n v="104.76"/>
        <n v="129.16"/>
        <n v="91.17"/>
        <n v="81.91"/>
        <n v="64.28"/>
        <n v="48"/>
        <n v="79.510000000000005"/>
        <n v="77.77"/>
        <n v="154.65"/>
        <n v="80.48"/>
        <n v="123.64"/>
        <n v="93.8"/>
        <n v="20"/>
        <n v="58.46"/>
        <n v="107.56"/>
        <n v="65.709999999999994"/>
        <n v="141.66"/>
        <n v="54.2"/>
        <n v="53.36"/>
        <n v="62.19"/>
        <n v="170.73"/>
        <n v="128.19999999999999"/>
        <n v="125"/>
        <n v="115.38"/>
        <n v="127.86"/>
        <n v="28.35"/>
        <n v="34.54"/>
        <n v="53.84"/>
        <n v="34.909999999999997"/>
        <n v="123.52"/>
        <n v="190"/>
        <n v="81.81"/>
        <n v="122.72"/>
        <n v="41.17"/>
        <n v="68.180000000000007"/>
        <n v="68.510000000000005"/>
        <n v="97.46"/>
        <n v="78.78"/>
        <n v="51.94"/>
        <n v="12.5"/>
        <n v="68.33"/>
        <n v="75.599999999999994"/>
        <n v="122.22"/>
        <n v="81.48"/>
        <n v="90.62"/>
        <n v="126.47"/>
        <n v="122.89"/>
        <n v="59.61"/>
        <n v="106.48"/>
        <n v="77.27"/>
        <n v="131.81"/>
        <n v="71.760000000000005"/>
        <n v="192.3"/>
        <n v="93.15"/>
        <n v="174.24"/>
        <n v="73.069999999999993"/>
        <n v="102.38"/>
        <n v="99"/>
        <n v="105.55"/>
        <n v="88.57"/>
        <n v="65.739999999999995"/>
        <n v="49.74"/>
        <n v="52.87"/>
        <n v="40.74"/>
        <n v="110.81"/>
        <n v="105.12"/>
        <n v="30.76"/>
        <n v="65.680000000000007"/>
        <n v="40.86"/>
        <n v="111.47"/>
        <n v="45.45"/>
        <n v="112.5"/>
        <n v="131.69999999999999"/>
        <n v="114"/>
        <n v="104.54"/>
        <n v="163.63"/>
        <n v="132.75"/>
        <n v="27.58"/>
        <n v="73.52"/>
        <n v="52"/>
        <n v="63.63"/>
        <n v="37.03"/>
        <n v="61.9"/>
        <n v="160.97"/>
        <n v="79.48"/>
        <n v="103.12"/>
        <n v="110.31"/>
        <n v="80.569999999999993"/>
        <n v="70.37"/>
        <n v="9.09"/>
        <n v="62.13"/>
        <n v="63.91"/>
        <n v="48.42"/>
        <n v="56.25"/>
        <n v="84.92"/>
        <n v="76.66"/>
        <n v="91.66"/>
        <n v="79.16"/>
        <n v="7.69"/>
        <n v="85.18"/>
        <n v="53.92"/>
        <n v="30"/>
        <n v="72.89"/>
        <n v="52.63"/>
        <n v="159.25"/>
        <n v="61.11"/>
        <n v="98.57"/>
        <n v="40.840000000000003"/>
        <n v="70.959999999999994"/>
        <n v="93.81"/>
        <n v="88.05"/>
        <n v="115.21"/>
        <n v="178.78"/>
        <n v="138.88"/>
        <n v="58.33"/>
        <n v="96.07"/>
        <n v="119.14"/>
        <n v="146.41999999999999"/>
        <n v="148.63999999999999"/>
        <n v="160.78"/>
        <n v="189.36"/>
        <n v="70.67"/>
        <n v="48.88"/>
        <n v="23.52"/>
        <n v="177.77"/>
        <n v="45"/>
        <n v="69.23"/>
        <n v="57.65"/>
        <n v="104.93"/>
        <n v="114.92"/>
        <n v="88.23"/>
        <n v="85.52"/>
        <n v="42.1"/>
        <n v="62.54"/>
        <n v="74.31"/>
        <n v="48.81"/>
        <n v="69.11"/>
        <n v="51.72"/>
        <n v="116.19"/>
        <n v="87.3"/>
        <n v="111.53"/>
        <n v="140"/>
        <n v="82.92"/>
        <n v="95"/>
        <n v="35.130000000000003"/>
        <n v="70.58"/>
        <n v="26.08"/>
        <n v="119.11"/>
        <n v="75.239999999999995"/>
        <n v="123.07"/>
        <n v="55.55"/>
        <n v="68.08"/>
        <n v="96.52"/>
        <n v="177.27"/>
        <n v="75.73"/>
        <n v="44.82"/>
        <n v="117.14"/>
        <n v="200"/>
        <n v="27.27"/>
        <n v="136.44999999999999"/>
        <n v="94.82"/>
        <n v="151.85"/>
        <n v="85.98"/>
        <n v="70.900000000000006"/>
        <n v="157.13999999999999"/>
        <n v="96.8"/>
        <n v="106.6"/>
        <n v="236.36"/>
        <n v="154.76"/>
        <n v="216.66"/>
        <n v="87.39"/>
        <n v="79.77"/>
        <n v="84.66"/>
        <n v="86.2"/>
        <n v="38.46"/>
        <n v="70"/>
        <n v="70.5"/>
        <n v="50.94"/>
        <n v="51.89"/>
        <n v="92"/>
        <n v="100.62"/>
        <n v="90.36"/>
        <n v="134.37"/>
        <n v="130"/>
        <n v="90.9"/>
        <n v="123.68"/>
        <n v="148.27000000000001"/>
        <n v="91.46"/>
        <n v="80.349999999999994"/>
        <n v="98.61"/>
        <n v="66.22"/>
        <n v="54.83"/>
        <n v="40.35"/>
        <n v="58.62"/>
        <n v="63.81"/>
        <n v="52.28"/>
        <n v="64.78"/>
        <n v="44.61"/>
        <n v="60.43"/>
        <n v="57.69"/>
        <n v="130.84"/>
        <n v="121.7"/>
        <n v="89.91"/>
        <n v="113.79"/>
        <n v="148.78"/>
        <n v="18.75"/>
        <n v="32.69"/>
        <n v="47.85"/>
        <n v="40.19"/>
        <n v="38.979999999999997"/>
        <n v="92.85"/>
        <n v="74.19"/>
        <n v="76.27"/>
        <n v="95.55"/>
        <n v="81.08"/>
        <n v="141.16999999999999"/>
        <n v="189.47"/>
        <n v="97.77"/>
        <n v="96.66"/>
        <n v="129.47"/>
        <n v="52.94"/>
        <n v="106.49"/>
        <n v="118.46"/>
        <n v="106.34"/>
        <n v="87.8"/>
        <n v="86.84"/>
        <n v="96.29"/>
        <n v="16.66"/>
        <n v="65.510000000000005"/>
        <n v="121.73"/>
        <n v="131.11000000000001"/>
        <n v="96"/>
        <n v="115.15"/>
        <n v="45.13"/>
        <n v="46.62"/>
        <n v="138.46"/>
        <n v="124"/>
        <n v="75.59"/>
        <n v="70.099999999999994"/>
        <n v="188"/>
        <n v="111.76"/>
        <n v="241.37"/>
        <n v="176.47"/>
        <n v="152.94"/>
        <n v="102.63"/>
        <n v="97.8"/>
        <n v="140.62"/>
        <n v="140.74"/>
        <n v="80.95"/>
        <n v="28.57"/>
        <n v="44.18"/>
        <n v="46.66"/>
        <n v="102.29"/>
        <n v="80.760000000000005"/>
        <n v="166.66"/>
        <n v="139.34"/>
        <n v="41.11"/>
        <n v="22.91"/>
        <n v="41.61"/>
        <n v="46.55"/>
        <n v="148.97"/>
        <n v="167.39"/>
        <n v="153.84"/>
        <n v="93.33"/>
        <n v="83.54"/>
        <n v="64.510000000000005"/>
        <n v="44"/>
        <n v="52.08"/>
        <n v="116.32"/>
        <n v="37.229999999999997"/>
        <n v="39.299999999999997"/>
        <n v="77.38"/>
        <n v="130.76"/>
        <n v="126.82"/>
        <n v="59.21"/>
        <n v="47.91"/>
        <n v="81.25"/>
        <n v="57.89"/>
        <n v="183.33"/>
        <n v="64"/>
        <n v="102.94"/>
        <n v="134.09"/>
        <n v="136.36000000000001"/>
        <n v="131.25"/>
        <n v="175"/>
        <n v="154.71"/>
        <n v="140.9"/>
        <n v="109.09"/>
        <n v="145.44999999999999"/>
        <n v="104"/>
        <n v="83.33"/>
        <n v="124.17"/>
        <n v="32.869999999999997"/>
        <n v="4.54"/>
        <n v="129.88"/>
        <n v="150.9"/>
        <n v="133.33000000000001"/>
        <n v="46.15"/>
        <n v="42.3"/>
        <n v="51.09"/>
        <n v="45.16"/>
        <n v="62.82"/>
        <n v="41.75"/>
        <n v="57.14"/>
        <n v="129.78"/>
        <n v="91.8"/>
        <n v="73.27"/>
        <n v="98.21"/>
        <n v="88.88"/>
        <n v="106.18"/>
        <n v="91.34"/>
        <n v="93.61"/>
        <n v="83.47"/>
        <n v="91.07"/>
        <n v="103.53"/>
        <n v="85.71"/>
        <n v="59.37"/>
        <n v="92.68"/>
        <n v="77.959999999999994"/>
        <n v="181.25"/>
        <n v="132.13999999999999"/>
        <n v="128.81"/>
        <n v="111.11"/>
        <n v="45.94"/>
        <n v="78.37"/>
        <n v="68.62"/>
        <n v="11.11"/>
        <n v="42.5"/>
        <n v="41.66"/>
        <n v="69.930000000000007"/>
        <n v="87.5"/>
        <n v="41.86"/>
        <n v="17.239999999999998"/>
        <n v="24.63"/>
        <n v="94.54"/>
        <n v="90.09"/>
        <n v="78.569999999999993"/>
        <n v="91.35"/>
        <n v="109.67"/>
        <n v="144.44"/>
        <n v="102.19"/>
        <n v="79.31"/>
        <n v="114.81"/>
      </sharedItems>
    </cacheField>
    <cacheField name="BAT POSTION" numFmtId="0">
      <sharedItems containsSemiMixedTypes="0" containsString="0" containsNumber="1" containsInteger="1" minValue="1" maxValue="7"/>
    </cacheField>
    <cacheField name="TYPE OF DISMISSAL" numFmtId="0">
      <sharedItems/>
    </cacheField>
    <cacheField name="INNINGS" numFmtId="0">
      <sharedItems containsSemiMixedTypes="0" containsString="0" containsNumber="1" containsInteger="1" minValue="1" maxValue="4"/>
    </cacheField>
    <cacheField name="OPPOSTION" numFmtId="0">
      <sharedItems count="16">
        <s v="v Sri Lanka"/>
        <s v="v Pakistan"/>
        <s v="v West Indies"/>
        <s v="v Australia"/>
        <s v="v Bangladesh"/>
        <s v="v South Africa"/>
        <s v="v Zimbabwe"/>
        <s v="v New Zealand"/>
        <s v="v England"/>
        <s v="v Ireland"/>
        <s v="v Netherlands"/>
        <s v="v Afghanistan"/>
        <s v="v U.A.E."/>
        <s v="v Scotland"/>
        <s v="v Hong Kong"/>
        <s v="v U.S.A."/>
      </sharedItems>
    </cacheField>
    <cacheField name="GROUND" numFmtId="0">
      <sharedItems/>
    </cacheField>
    <cacheField name="DATE" numFmtId="14">
      <sharedItems containsSemiMixedTypes="0" containsNonDate="0" containsDate="1" containsString="0" minDate="2008-08-18T00:00:00" maxDate="2026-01-19T00:00:00" count="514">
        <d v="2008-08-18T00:00:00"/>
        <d v="2008-08-20T00:00:00"/>
        <d v="2008-08-24T00:00:00"/>
        <d v="2008-08-29T00:00:00"/>
        <d v="2009-09-14T00:00:00"/>
        <d v="2009-09-26T00:00:00"/>
        <d v="2009-09-30T00:00:00"/>
        <d v="2009-10-25T00:00:00"/>
        <d v="2009-11-02T00:00:00"/>
        <d v="2009-12-15T00:00:00"/>
        <d v="2009-12-24T00:00:00"/>
        <d v="2010-01-05T00:00:00"/>
        <d v="2010-01-07T00:00:00"/>
        <d v="2010-01-11T00:00:00"/>
        <d v="2010-01-13T00:00:00"/>
        <d v="2010-02-21T00:00:00"/>
        <d v="2010-02-27T00:00:00"/>
        <d v="2010-05-28T00:00:00"/>
        <d v="2010-05-30T00:00:00"/>
        <d v="2010-06-05T00:00:00"/>
        <d v="2010-06-12T00:00:00"/>
        <d v="2010-06-16T00:00:00"/>
        <d v="2010-06-22T00:00:00"/>
        <d v="2010-06-24T00:00:00"/>
        <d v="2010-08-16T00:00:00"/>
        <d v="2010-08-28T00:00:00"/>
        <d v="2010-10-20T00:00:00"/>
        <d v="2010-11-28T00:00:00"/>
        <d v="2010-12-04T00:00:00"/>
        <d v="2010-12-07T00:00:00"/>
        <d v="2010-12-10T00:00:00"/>
        <d v="2011-01-09T00:00:00"/>
        <d v="2011-01-12T00:00:00"/>
        <d v="2011-01-15T00:00:00"/>
        <d v="2011-01-18T00:00:00"/>
        <d v="2011-01-23T00:00:00"/>
        <d v="2011-02-19T00:00:00"/>
        <d v="2011-02-27T00:00:00"/>
        <d v="2011-03-06T00:00:00"/>
        <d v="2011-03-09T00:00:00"/>
        <d v="2011-03-12T00:00:00"/>
        <d v="2011-03-20T00:00:00"/>
        <d v="2011-03-24T00:00:00"/>
        <d v="2011-03-30T00:00:00"/>
        <d v="2011-04-02T00:00:00"/>
        <d v="2011-06-04T00:00:00"/>
        <d v="2011-06-06T00:00:00"/>
        <d v="2011-06-08T00:00:00"/>
        <d v="2011-06-11T00:00:00"/>
        <d v="2011-06-13T00:00:00"/>
        <d v="2011-06-16T00:00:00"/>
        <d v="2011-06-20T00:00:00"/>
        <d v="2011-06-28T00:00:00"/>
        <d v="2011-07-06T00:00:00"/>
        <d v="2011-08-31T00:00:00"/>
        <d v="2011-09-03T00:00:00"/>
        <d v="2011-09-06T00:00:00"/>
        <d v="2011-09-09T00:00:00"/>
        <d v="2011-09-11T00:00:00"/>
        <d v="2011-09-16T00:00:00"/>
        <d v="2011-10-14T00:00:00"/>
        <d v="2011-10-17T00:00:00"/>
        <d v="2011-10-20T00:00:00"/>
        <d v="2011-10-23T00:00:00"/>
        <d v="2011-10-25T00:00:00"/>
        <d v="2011-10-29T00:00:00"/>
        <d v="2011-11-22T00:00:00"/>
        <d v="2011-11-29T00:00:00"/>
        <d v="2011-12-02T00:00:00"/>
        <d v="2011-12-05T00:00:00"/>
        <d v="2011-12-08T00:00:00"/>
        <d v="2011-12-11T00:00:00"/>
        <d v="2011-12-26T00:00:00"/>
        <d v="2012-01-03T00:00:00"/>
        <d v="2012-01-13T00:00:00"/>
        <d v="2012-01-24T00:00:00"/>
        <d v="2012-02-01T00:00:00"/>
        <d v="2012-02-03T00:00:00"/>
        <d v="2012-02-05T00:00:00"/>
        <d v="2012-02-08T00:00:00"/>
        <d v="2012-02-12T00:00:00"/>
        <d v="2012-02-14T00:00:00"/>
        <d v="2012-02-19T00:00:00"/>
        <d v="2012-02-21T00:00:00"/>
        <d v="2012-02-26T00:00:00"/>
        <d v="2012-02-28T00:00:00"/>
        <d v="2012-03-13T00:00:00"/>
        <d v="2012-03-16T00:00:00"/>
        <d v="2012-03-18T00:00:00"/>
        <d v="2012-07-21T00:00:00"/>
        <d v="2012-07-24T00:00:00"/>
        <d v="2012-07-28T00:00:00"/>
        <d v="2012-07-31T00:00:00"/>
        <d v="2012-08-04T00:00:00"/>
        <d v="2012-08-07T00:00:00"/>
        <d v="2012-08-23T00:00:00"/>
        <d v="2012-08-31T00:00:00"/>
        <d v="2012-09-11T00:00:00"/>
        <d v="2012-09-19T00:00:00"/>
        <d v="2012-09-23T00:00:00"/>
        <d v="2012-09-28T00:00:00"/>
        <d v="2012-09-30T00:00:00"/>
        <d v="2012-10-02T00:00:00"/>
        <d v="2012-11-15T00:00:00"/>
        <d v="2012-11-23T00:00:00"/>
        <d v="2012-12-05T00:00:00"/>
        <d v="2012-12-13T00:00:00"/>
        <d v="2012-12-20T00:00:00"/>
        <d v="2012-12-22T00:00:00"/>
        <d v="2012-12-25T00:00:00"/>
        <d v="2012-12-28T00:00:00"/>
        <d v="2012-12-30T00:00:00"/>
        <d v="2013-01-03T00:00:00"/>
        <d v="2013-01-06T00:00:00"/>
        <d v="2013-01-11T00:00:00"/>
        <d v="2013-01-15T00:00:00"/>
        <d v="2013-01-19T00:00:00"/>
        <d v="2013-01-23T00:00:00"/>
        <d v="2013-01-27T00:00:00"/>
        <d v="2013-02-22T00:00:00"/>
        <d v="2013-03-22T00:00:00"/>
        <d v="2013-06-06T00:00:00"/>
        <d v="2013-06-11T00:00:00"/>
        <d v="2013-06-15T00:00:00"/>
        <d v="2013-06-20T00:00:00"/>
        <d v="2013-06-23T00:00:00"/>
        <d v="2013-06-30T00:00:00"/>
        <d v="2013-07-02T00:00:00"/>
        <d v="2013-07-05T00:00:00"/>
        <d v="2013-07-09T00:00:00"/>
        <d v="2013-07-11T00:00:00"/>
        <d v="2013-07-24T00:00:00"/>
        <d v="2013-07-26T00:00:00"/>
        <d v="2013-07-28T00:00:00"/>
        <d v="2013-10-10T00:00:00"/>
        <d v="2013-10-13T00:00:00"/>
        <d v="2013-10-16T00:00:00"/>
        <d v="2013-10-19T00:00:00"/>
        <d v="2013-10-30T00:00:00"/>
        <d v="2013-11-02T00:00:00"/>
        <d v="2013-11-06T00:00:00"/>
        <d v="2013-11-14T00:00:00"/>
        <d v="2013-11-21T00:00:00"/>
        <d v="2013-11-24T00:00:00"/>
        <d v="2013-11-27T00:00:00"/>
        <d v="2013-12-05T00:00:00"/>
        <d v="2013-12-08T00:00:00"/>
        <d v="2013-12-18T00:00:00"/>
        <d v="2013-12-26T00:00:00"/>
        <d v="2014-01-19T00:00:00"/>
        <d v="2014-01-28T00:00:00"/>
        <d v="2014-01-31T00:00:00"/>
        <d v="2014-02-06T00:00:00"/>
        <d v="2014-02-14T00:00:00"/>
        <d v="2014-02-26T00:00:00"/>
        <d v="2014-03-02T00:00:00"/>
        <d v="2014-03-21T00:00:00"/>
        <d v="2014-03-23T00:00:00"/>
        <d v="2014-03-28T00:00:00"/>
        <d v="2014-03-30T00:00:00"/>
        <d v="2014-04-04T00:00:00"/>
        <d v="2014-04-06T00:00:00"/>
        <d v="2014-07-09T00:00:00"/>
        <d v="2014-07-17T00:00:00"/>
        <d v="2014-07-27T00:00:00"/>
        <d v="2014-08-07T00:00:00"/>
        <d v="2014-08-15T00:00:00"/>
        <d v="2014-08-27T00:00:00"/>
        <d v="2014-08-30T00:00:00"/>
        <d v="2014-09-02T00:00:00"/>
        <d v="2014-09-05T00:00:00"/>
        <d v="2014-09-07T00:00:00"/>
        <d v="2014-10-08T00:00:00"/>
        <d v="2014-10-11T00:00:00"/>
        <d v="2014-11-02T00:00:00"/>
        <d v="2014-11-13T00:00:00"/>
        <d v="2014-11-16T00:00:00"/>
        <d v="2014-12-09T00:00:00"/>
        <d v="2014-12-17T00:00:00"/>
        <d v="2014-12-26T00:00:00"/>
        <d v="2015-01-06T00:00:00"/>
        <d v="2015-01-18T00:00:00"/>
        <d v="2015-01-26T00:00:00"/>
        <d v="2015-02-15T00:00:00"/>
        <d v="2015-02-22T00:00:00"/>
        <d v="2015-02-28T00:00:00"/>
        <d v="2015-03-06T00:00:00"/>
        <d v="2015-03-10T00:00:00"/>
        <d v="2015-03-14T00:00:00"/>
        <d v="2015-03-26T00:00:00"/>
        <d v="2015-06-10T00:00:00"/>
        <d v="2015-06-18T00:00:00"/>
        <d v="2015-06-21T00:00:00"/>
        <d v="2015-06-24T00:00:00"/>
        <d v="2015-08-12T00:00:00"/>
        <d v="2015-08-20T00:00:00"/>
        <d v="2015-08-28T00:00:00"/>
        <d v="2015-10-02T00:00:00"/>
        <d v="2015-10-05T00:00:00"/>
        <d v="2015-10-11T00:00:00"/>
        <d v="2015-10-14T00:00:00"/>
        <d v="2015-10-18T00:00:00"/>
        <d v="2015-10-22T00:00:00"/>
        <d v="2015-11-05T00:00:00"/>
        <d v="2015-11-25T00:00:00"/>
        <d v="2015-12-03T00:00:00"/>
        <d v="2016-01-12T00:00:00"/>
        <d v="2016-01-15T00:00:00"/>
        <d v="2016-01-17T00:00:00"/>
        <d v="2016-01-20T00:00:00"/>
        <d v="2016-01-23T00:00:00"/>
        <d v="2016-01-26T00:00:00"/>
        <d v="2016-01-29T00:00:00"/>
        <d v="2016-01-31T00:00:00"/>
        <d v="2016-02-24T00:00:00"/>
        <d v="2016-02-27T00:00:00"/>
        <d v="2016-03-01T00:00:00"/>
        <d v="2016-03-06T00:00:00"/>
        <d v="2016-03-15T00:00:00"/>
        <d v="2016-03-19T00:00:00"/>
        <d v="2016-03-23T00:00:00"/>
        <d v="2016-03-27T00:00:00"/>
        <d v="2016-03-31T00:00:00"/>
        <d v="2016-07-21T00:00:00"/>
        <d v="2016-07-30T00:00:00"/>
        <d v="2016-08-09T00:00:00"/>
        <d v="2016-08-27T00:00:00"/>
        <d v="2016-09-22T00:00:00"/>
        <d v="2016-09-30T00:00:00"/>
        <d v="2016-10-08T00:00:00"/>
        <d v="2016-10-16T00:00:00"/>
        <d v="2016-10-20T00:00:00"/>
        <d v="2016-10-23T00:00:00"/>
        <d v="2016-10-26T00:00:00"/>
        <d v="2016-10-29T00:00:00"/>
        <d v="2016-11-09T00:00:00"/>
        <d v="2016-11-17T00:00:00"/>
        <d v="2016-11-26T00:00:00"/>
        <d v="2016-12-08T00:00:00"/>
        <d v="2016-12-16T00:00:00"/>
        <d v="2017-01-15T00:00:00"/>
        <d v="2017-01-19T00:00:00"/>
        <d v="2017-01-22T00:00:00"/>
        <d v="2017-01-26T00:00:00"/>
        <d v="2017-01-29T00:00:00"/>
        <d v="2017-02-01T00:00:00"/>
        <d v="2017-02-09T00:00:00"/>
        <d v="2017-02-23T00:00:00"/>
        <d v="2017-03-04T00:00:00"/>
        <d v="2017-03-16T00:00:00"/>
        <d v="2017-06-04T00:00:00"/>
        <d v="2017-06-08T00:00:00"/>
        <d v="2017-06-11T00:00:00"/>
        <d v="2017-06-15T00:00:00"/>
        <d v="2017-06-18T00:00:00"/>
        <d v="2017-06-23T00:00:00"/>
        <d v="2017-06-25T00:00:00"/>
        <d v="2017-06-30T00:00:00"/>
        <d v="2017-07-02T00:00:00"/>
        <d v="2017-07-06T00:00:00"/>
        <d v="2017-07-09T00:00:00"/>
        <d v="2017-07-26T00:00:00"/>
        <d v="2017-08-03T00:00:00"/>
        <d v="2017-08-12T00:00:00"/>
        <d v="2017-08-20T00:00:00"/>
        <d v="2017-08-24T00:00:00"/>
        <d v="2017-08-27T00:00:00"/>
        <d v="2017-08-31T00:00:00"/>
        <d v="2017-09-03T00:00:00"/>
        <d v="2017-09-06T00:00:00"/>
        <d v="2017-09-17T00:00:00"/>
        <d v="2017-09-21T00:00:00"/>
        <d v="2017-09-24T00:00:00"/>
        <d v="2017-09-28T00:00:00"/>
        <d v="2017-10-01T00:00:00"/>
        <d v="2017-10-07T00:00:00"/>
        <d v="2017-10-10T00:00:00"/>
        <d v="2017-10-22T00:00:00"/>
        <d v="2017-10-25T00:00:00"/>
        <d v="2017-10-29T00:00:00"/>
        <d v="2017-11-01T00:00:00"/>
        <d v="2017-11-04T00:00:00"/>
        <d v="2017-11-07T00:00:00"/>
        <d v="2017-11-16T00:00:00"/>
        <d v="2017-11-24T00:00:00"/>
        <d v="2017-12-02T00:00:00"/>
        <d v="2018-01-05T00:00:00"/>
        <d v="2018-01-13T00:00:00"/>
        <d v="2018-01-24T00:00:00"/>
        <d v="2018-02-01T00:00:00"/>
        <d v="2018-02-04T00:00:00"/>
        <d v="2018-02-07T00:00:00"/>
        <d v="2018-02-10T00:00:00"/>
        <d v="2018-02-13T00:00:00"/>
        <d v="2018-02-16T00:00:00"/>
        <d v="2018-02-18T00:00:00"/>
        <d v="2018-02-21T00:00:00"/>
        <d v="2018-06-27T00:00:00"/>
        <d v="2018-06-29T00:00:00"/>
        <d v="2018-07-03T00:00:00"/>
        <d v="2018-07-06T00:00:00"/>
        <d v="2018-07-08T00:00:00"/>
        <d v="2018-07-12T00:00:00"/>
        <d v="2018-07-14T00:00:00"/>
        <d v="2018-07-17T00:00:00"/>
        <d v="2018-08-01T00:00:00"/>
        <d v="2018-08-09T00:00:00"/>
        <d v="2018-08-18T00:00:00"/>
        <d v="2018-08-30T00:00:00"/>
        <d v="2018-09-07T00:00:00"/>
        <d v="2018-10-04T00:00:00"/>
        <d v="2018-10-12T00:00:00"/>
        <d v="2018-10-21T00:00:00"/>
        <d v="2018-10-24T00:00:00"/>
        <d v="2018-10-27T00:00:00"/>
        <d v="2018-10-29T00:00:00"/>
        <d v="2018-11-01T00:00:00"/>
        <d v="2018-11-21T00:00:00"/>
        <d v="2018-11-25T00:00:00"/>
        <d v="2018-12-06T00:00:00"/>
        <d v="2018-12-14T00:00:00"/>
        <d v="2018-12-26T00:00:00"/>
        <d v="2019-01-03T00:00:00"/>
        <d v="2019-01-12T00:00:00"/>
        <d v="2019-01-15T00:00:00"/>
        <d v="2019-01-18T00:00:00"/>
        <d v="2019-01-23T00:00:00"/>
        <d v="2019-01-26T00:00:00"/>
        <d v="2019-01-28T00:00:00"/>
        <d v="2019-02-24T00:00:00"/>
        <d v="2019-02-27T00:00:00"/>
        <d v="2019-03-02T00:00:00"/>
        <d v="2019-03-05T00:00:00"/>
        <d v="2019-03-08T00:00:00"/>
        <d v="2019-03-10T00:00:00"/>
        <d v="2019-03-13T00:00:00"/>
        <d v="2019-06-05T00:00:00"/>
        <d v="2019-06-09T00:00:00"/>
        <d v="2019-06-16T00:00:00"/>
        <d v="2019-06-22T00:00:00"/>
        <d v="2019-06-27T00:00:00"/>
        <d v="2019-06-30T00:00:00"/>
        <d v="2019-07-02T00:00:00"/>
        <d v="2019-07-06T00:00:00"/>
        <d v="2019-07-09T00:00:00"/>
        <d v="2019-08-03T00:00:00"/>
        <d v="2019-08-04T00:00:00"/>
        <d v="2019-08-06T00:00:00"/>
        <d v="2019-08-11T00:00:00"/>
        <d v="2019-08-14T00:00:00"/>
        <d v="2019-08-22T00:00:00"/>
        <d v="2019-08-30T00:00:00"/>
        <d v="2019-09-18T00:00:00"/>
        <d v="2019-09-22T00:00:00"/>
        <d v="2019-10-02T00:00:00"/>
        <d v="2019-10-10T00:00:00"/>
        <d v="2019-10-19T00:00:00"/>
        <d v="2019-11-14T00:00:00"/>
        <d v="2019-11-22T00:00:00"/>
        <d v="2019-12-06T00:00:00"/>
        <d v="2019-12-08T00:00:00"/>
        <d v="2019-12-11T00:00:00"/>
        <d v="2019-12-15T00:00:00"/>
        <d v="2019-12-18T00:00:00"/>
        <d v="2019-12-22T00:00:00"/>
        <d v="2020-01-07T00:00:00"/>
        <d v="2020-01-10T00:00:00"/>
        <d v="2020-01-14T00:00:00"/>
        <d v="2020-01-17T00:00:00"/>
        <d v="2020-01-19T00:00:00"/>
        <d v="2020-01-24T00:00:00"/>
        <d v="2020-01-26T00:00:00"/>
        <d v="2020-01-29T00:00:00"/>
        <d v="2020-01-31T00:00:00"/>
        <d v="2020-02-05T00:00:00"/>
        <d v="2020-02-08T00:00:00"/>
        <d v="2020-02-11T00:00:00"/>
        <d v="2020-02-21T00:00:00"/>
        <d v="2020-02-29T00:00:00"/>
        <d v="2020-11-27T00:00:00"/>
        <d v="2020-11-29T00:00:00"/>
        <d v="2020-12-02T00:00:00"/>
        <d v="2020-12-04T00:00:00"/>
        <d v="2020-12-06T00:00:00"/>
        <d v="2020-12-08T00:00:00"/>
        <d v="2020-12-17T00:00:00"/>
        <d v="2021-02-05T00:00:00"/>
        <d v="2021-02-13T00:00:00"/>
        <d v="2021-02-24T00:00:00"/>
        <d v="2021-03-04T00:00:00"/>
        <d v="2021-03-12T00:00:00"/>
        <d v="2021-03-14T00:00:00"/>
        <d v="2021-03-16T00:00:00"/>
        <d v="2021-03-18T00:00:00"/>
        <d v="2021-03-20T00:00:00"/>
        <d v="2021-03-23T00:00:00"/>
        <d v="2021-03-26T00:00:00"/>
        <d v="2021-06-18T00:00:00"/>
        <d v="2021-08-04T00:00:00"/>
        <d v="2021-08-12T00:00:00"/>
        <d v="2021-08-25T00:00:00"/>
        <d v="2021-09-02T00:00:00"/>
        <d v="2021-10-24T00:00:00"/>
        <d v="2021-10-31T00:00:00"/>
        <d v="2021-11-05T00:00:00"/>
        <d v="2021-12-03T00:00:00"/>
        <d v="2021-12-26T00:00:00"/>
        <d v="2022-01-11T00:00:00"/>
        <d v="2022-01-19T00:00:00"/>
        <d v="2022-01-21T00:00:00"/>
        <d v="2022-01-23T00:00:00"/>
        <d v="2022-02-06T00:00:00"/>
        <d v="2022-02-09T00:00:00"/>
        <d v="2022-02-11T00:00:00"/>
        <d v="2022-02-16T00:00:00"/>
        <d v="2022-02-18T00:00:00"/>
        <d v="2022-03-04T00:00:00"/>
        <d v="2022-03-12T00:00:00"/>
        <d v="2022-07-01T00:00:00"/>
        <d v="2022-07-09T00:00:00"/>
        <d v="2022-07-10T00:00:00"/>
        <d v="2022-07-14T00:00:00"/>
        <d v="2022-07-17T00:00:00"/>
        <d v="2022-08-28T00:00:00"/>
        <d v="2022-08-31T00:00:00"/>
        <d v="2022-09-04T00:00:00"/>
        <d v="2022-09-06T00:00:00"/>
        <d v="2022-09-08T00:00:00"/>
        <d v="2022-09-20T00:00:00"/>
        <d v="2022-09-23T00:00:00"/>
        <d v="2022-09-25T00:00:00"/>
        <d v="2022-09-28T00:00:00"/>
        <d v="2022-10-02T00:00:00"/>
        <d v="2022-10-23T00:00:00"/>
        <d v="2022-10-27T00:00:00"/>
        <d v="2022-10-30T00:00:00"/>
        <d v="2022-11-02T00:00:00"/>
        <d v="2022-11-06T00:00:00"/>
        <d v="2022-11-10T00:00:00"/>
        <d v="2022-12-04T00:00:00"/>
        <d v="2022-12-07T00:00:00"/>
        <d v="2022-12-10T00:00:00"/>
        <d v="2022-12-14T00:00:00"/>
        <d v="2022-12-22T00:00:00"/>
        <d v="2023-01-10T00:00:00"/>
        <d v="2023-01-12T00:00:00"/>
        <d v="2023-01-15T00:00:00"/>
        <d v="2023-01-18T00:00:00"/>
        <d v="2023-01-21T00:00:00"/>
        <d v="2023-01-24T00:00:00"/>
        <d v="2023-02-09T00:00:00"/>
        <d v="2023-02-17T00:00:00"/>
        <d v="2023-03-01T00:00:00"/>
        <d v="2023-03-09T00:00:00"/>
        <d v="2023-03-17T00:00:00"/>
        <d v="2023-03-19T00:00:00"/>
        <d v="2023-03-22T00:00:00"/>
        <d v="2023-06-07T00:00:00"/>
        <d v="2023-07-12T00:00:00"/>
        <d v="2023-07-20T00:00:00"/>
        <d v="2023-09-02T00:00:00"/>
        <d v="2023-09-10T00:00:00"/>
        <d v="2023-09-12T00:00:00"/>
        <d v="2023-09-27T00:00:00"/>
        <d v="2023-10-08T00:00:00"/>
        <d v="2023-10-11T00:00:00"/>
        <d v="2023-10-14T00:00:00"/>
        <d v="2023-10-19T00:00:00"/>
        <d v="2023-10-22T00:00:00"/>
        <d v="2023-10-29T00:00:00"/>
        <d v="2023-11-02T00:00:00"/>
        <d v="2023-11-05T00:00:00"/>
        <d v="2023-11-12T00:00:00"/>
        <d v="2023-11-15T00:00:00"/>
        <d v="2023-11-19T00:00:00"/>
        <d v="2023-12-26T00:00:00"/>
        <d v="2024-01-03T00:00:00"/>
        <d v="2024-01-14T00:00:00"/>
        <d v="2024-01-17T00:00:00"/>
        <d v="2024-06-05T00:00:00"/>
        <d v="2024-06-09T00:00:00"/>
        <d v="2024-06-12T00:00:00"/>
        <d v="2024-06-20T00:00:00"/>
        <d v="2024-06-22T00:00:00"/>
        <d v="2024-06-24T00:00:00"/>
        <d v="2024-06-27T00:00:00"/>
        <d v="2024-06-29T00:00:00"/>
        <d v="2024-08-02T00:00:00"/>
        <d v="2024-08-07T00:00:00"/>
        <d v="2024-09-19T00:00:00"/>
        <d v="2024-09-27T00:00:00"/>
        <d v="2024-10-16T00:00:00"/>
        <d v="2024-10-24T00:00:00"/>
        <d v="2024-11-01T00:00:00"/>
        <d v="2024-11-22T00:00:00"/>
        <d v="2024-12-06T00:00:00"/>
        <d v="2024-12-14T00:00:00"/>
        <d v="2024-12-26T00:00:00"/>
        <d v="2025-01-03T00:00:00"/>
        <d v="2025-02-12T00:00:00"/>
        <d v="2025-02-20T00:00:00"/>
        <d v="2025-02-23T00:00:00"/>
        <d v="2025-03-02T00:00:00"/>
        <d v="2025-03-04T00:00:00"/>
        <d v="2025-03-09T00:00:00"/>
        <d v="2025-10-19T00:00:00"/>
        <d v="2025-10-23T00:00:00"/>
        <d v="2025-10-25T00:00:00"/>
        <d v="2025-11-30T00:00:00"/>
        <d v="2025-12-03T00:00:00"/>
        <d v="2025-12-06T00:00:00"/>
        <d v="2026-01-11T00:00:00"/>
        <d v="2026-01-14T00:00:00"/>
        <d v="2026-01-18T00:00:00"/>
      </sharedItems>
      <fieldGroup par="18"/>
    </cacheField>
    <cacheField name="FORMAT" numFmtId="0">
      <sharedItems count="3">
        <s v="ODI"/>
        <s v="T20I"/>
        <s v="Test"/>
      </sharedItems>
    </cacheField>
    <cacheField name="CENTURY" numFmtId="0">
      <sharedItems count="2">
        <s v="NO"/>
        <s v="YES"/>
      </sharedItems>
    </cacheField>
    <cacheField name="FIFTY" numFmtId="0">
      <sharedItems count="2">
        <s v="NO"/>
        <s v="YES"/>
      </sharedItems>
    </cacheField>
    <cacheField name="Months (DATE)" numFmtId="0" databaseField="0">
      <fieldGroup base="12">
        <rangePr groupBy="months" startDate="2008-08-18T00:00:00" endDate="2026-01-19T00:00:00"/>
        <groupItems count="14">
          <s v="&lt;18-08-2008"/>
          <s v="Jan"/>
          <s v="Feb"/>
          <s v="Mar"/>
          <s v="Apr"/>
          <s v="May"/>
          <s v="Jun"/>
          <s v="Jul"/>
          <s v="Aug"/>
          <s v="Sep"/>
          <s v="Oct"/>
          <s v="Nov"/>
          <s v="Dec"/>
          <s v="&gt;19-01-2026"/>
        </groupItems>
      </fieldGroup>
    </cacheField>
    <cacheField name="Quarters (DATE)" numFmtId="0" databaseField="0">
      <fieldGroup base="12">
        <rangePr groupBy="quarters" startDate="2008-08-18T00:00:00" endDate="2026-01-19T00:00:00"/>
        <groupItems count="6">
          <s v="&lt;18-08-2008"/>
          <s v="Qtr1"/>
          <s v="Qtr2"/>
          <s v="Qtr3"/>
          <s v="Qtr4"/>
          <s v="&gt;19-01-2026"/>
        </groupItems>
      </fieldGroup>
    </cacheField>
    <cacheField name="Years (DATE)" numFmtId="0" databaseField="0">
      <fieldGroup base="12">
        <rangePr groupBy="years" startDate="2008-08-18T00:00:00" endDate="2026-01-19T00:00:00"/>
        <groupItems count="21">
          <s v="&lt;18-08-2008"/>
          <s v="2008"/>
          <s v="2009"/>
          <s v="2010"/>
          <s v="2011"/>
          <s v="2012"/>
          <s v="2013"/>
          <s v="2014"/>
          <s v="2015"/>
          <s v="2016"/>
          <s v="2017"/>
          <s v="2018"/>
          <s v="2019"/>
          <s v="2020"/>
          <s v="2021"/>
          <s v="2022"/>
          <s v="2023"/>
          <s v="2024"/>
          <s v="2025"/>
          <s v="2026"/>
          <s v="&gt;19-01-2026"/>
        </groupItems>
      </fieldGroup>
    </cacheField>
  </cacheFields>
  <extLst>
    <ext xmlns:x14="http://schemas.microsoft.com/office/spreadsheetml/2009/9/main" uri="{725AE2AE-9491-48be-B2B4-4EB974FC3084}">
      <x14:pivotCacheDefinition pivotCacheId="1288493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
  <r>
    <x v="0"/>
    <x v="0"/>
    <x v="0"/>
    <n v="22"/>
    <n v="1"/>
    <n v="0"/>
    <x v="0"/>
    <n v="2"/>
    <s v="lbw"/>
    <n v="1"/>
    <x v="0"/>
    <s v="Dambulla"/>
    <x v="0"/>
    <x v="0"/>
    <x v="0"/>
    <x v="0"/>
  </r>
  <r>
    <x v="1"/>
    <x v="1"/>
    <x v="1"/>
    <n v="67"/>
    <n v="6"/>
    <n v="0"/>
    <x v="1"/>
    <n v="2"/>
    <s v="caught"/>
    <n v="2"/>
    <x v="0"/>
    <s v="Dambulla"/>
    <x v="1"/>
    <x v="0"/>
    <x v="0"/>
    <x v="0"/>
  </r>
  <r>
    <x v="2"/>
    <x v="2"/>
    <x v="2"/>
    <n v="38"/>
    <n v="4"/>
    <n v="0"/>
    <x v="2"/>
    <n v="1"/>
    <s v="run out"/>
    <n v="1"/>
    <x v="0"/>
    <s v="Colombo (RPS)"/>
    <x v="2"/>
    <x v="0"/>
    <x v="0"/>
    <x v="0"/>
  </r>
  <r>
    <x v="3"/>
    <x v="3"/>
    <x v="3"/>
    <n v="46"/>
    <n v="3"/>
    <n v="1"/>
    <x v="3"/>
    <n v="1"/>
    <s v="lbw"/>
    <n v="2"/>
    <x v="0"/>
    <s v="Colombo (RPS)"/>
    <x v="3"/>
    <x v="0"/>
    <x v="0"/>
    <x v="0"/>
  </r>
  <r>
    <x v="4"/>
    <x v="4"/>
    <x v="4"/>
    <n v="2"/>
    <n v="0"/>
    <n v="0"/>
    <x v="4"/>
    <n v="7"/>
    <s v="not out"/>
    <n v="1"/>
    <x v="0"/>
    <s v="Colombo (RPS)"/>
    <x v="4"/>
    <x v="0"/>
    <x v="0"/>
    <x v="0"/>
  </r>
  <r>
    <x v="5"/>
    <x v="5"/>
    <x v="5"/>
    <n v="24"/>
    <n v="1"/>
    <n v="0"/>
    <x v="5"/>
    <n v="4"/>
    <s v="caught"/>
    <n v="2"/>
    <x v="1"/>
    <s v="Centurion"/>
    <x v="5"/>
    <x v="0"/>
    <x v="0"/>
    <x v="0"/>
  </r>
  <r>
    <x v="6"/>
    <x v="6"/>
    <x v="6"/>
    <n v="104"/>
    <n v="9"/>
    <n v="2"/>
    <x v="6"/>
    <n v="4"/>
    <s v="not out"/>
    <n v="2"/>
    <x v="2"/>
    <s v="Johannesburg"/>
    <x v="6"/>
    <x v="0"/>
    <x v="0"/>
    <x v="1"/>
  </r>
  <r>
    <x v="7"/>
    <x v="7"/>
    <x v="7"/>
    <n v="41"/>
    <n v="3"/>
    <n v="0"/>
    <x v="7"/>
    <n v="4"/>
    <s v="caught"/>
    <n v="2"/>
    <x v="3"/>
    <s v="Vadodara"/>
    <x v="7"/>
    <x v="0"/>
    <x v="0"/>
    <x v="0"/>
  </r>
  <r>
    <x v="8"/>
    <x v="8"/>
    <x v="8"/>
    <n v="16"/>
    <n v="1"/>
    <n v="0"/>
    <x v="8"/>
    <n v="3"/>
    <s v="caught"/>
    <n v="2"/>
    <x v="3"/>
    <s v="Mohali"/>
    <x v="8"/>
    <x v="0"/>
    <x v="0"/>
    <x v="0"/>
  </r>
  <r>
    <x v="9"/>
    <x v="9"/>
    <x v="9"/>
    <n v="19"/>
    <n v="4"/>
    <n v="0"/>
    <x v="9"/>
    <n v="7"/>
    <s v="bowled"/>
    <n v="1"/>
    <x v="0"/>
    <s v="Rajkot"/>
    <x v="9"/>
    <x v="0"/>
    <x v="0"/>
    <x v="0"/>
  </r>
  <r>
    <x v="10"/>
    <x v="10"/>
    <x v="10"/>
    <n v="114"/>
    <n v="11"/>
    <n v="1"/>
    <x v="10"/>
    <n v="4"/>
    <s v="caught"/>
    <n v="2"/>
    <x v="0"/>
    <s v="Eden Gardens"/>
    <x v="10"/>
    <x v="0"/>
    <x v="1"/>
    <x v="0"/>
  </r>
  <r>
    <x v="11"/>
    <x v="11"/>
    <x v="11"/>
    <n v="12"/>
    <n v="1"/>
    <n v="0"/>
    <x v="11"/>
    <n v="3"/>
    <s v="caught"/>
    <n v="1"/>
    <x v="0"/>
    <s v="Mirpur"/>
    <x v="11"/>
    <x v="0"/>
    <x v="0"/>
    <x v="0"/>
  </r>
  <r>
    <x v="12"/>
    <x v="12"/>
    <x v="12"/>
    <n v="102"/>
    <n v="7"/>
    <n v="0"/>
    <x v="12"/>
    <n v="3"/>
    <s v="caught"/>
    <n v="2"/>
    <x v="4"/>
    <s v="Mirpur"/>
    <x v="12"/>
    <x v="0"/>
    <x v="0"/>
    <x v="1"/>
  </r>
  <r>
    <x v="13"/>
    <x v="13"/>
    <x v="13"/>
    <n v="95"/>
    <n v="11"/>
    <n v="0"/>
    <x v="13"/>
    <n v="3"/>
    <s v="not out"/>
    <n v="2"/>
    <x v="4"/>
    <s v="Mirpur"/>
    <x v="13"/>
    <x v="0"/>
    <x v="1"/>
    <x v="0"/>
  </r>
  <r>
    <x v="14"/>
    <x v="4"/>
    <x v="4"/>
    <n v="8"/>
    <n v="0"/>
    <n v="0"/>
    <x v="14"/>
    <n v="3"/>
    <s v="caught"/>
    <n v="1"/>
    <x v="0"/>
    <s v="Mirpur"/>
    <x v="14"/>
    <x v="0"/>
    <x v="0"/>
    <x v="0"/>
  </r>
  <r>
    <x v="15"/>
    <x v="3"/>
    <x v="14"/>
    <n v="46"/>
    <n v="1"/>
    <n v="0"/>
    <x v="3"/>
    <n v="5"/>
    <s v="caught"/>
    <n v="1"/>
    <x v="5"/>
    <s v="Jaipur"/>
    <x v="15"/>
    <x v="0"/>
    <x v="0"/>
    <x v="0"/>
  </r>
  <r>
    <x v="16"/>
    <x v="14"/>
    <x v="15"/>
    <n v="71"/>
    <n v="4"/>
    <n v="1"/>
    <x v="15"/>
    <n v="3"/>
    <s v="caught"/>
    <n v="2"/>
    <x v="5"/>
    <s v="Ahmedabad"/>
    <x v="16"/>
    <x v="0"/>
    <x v="0"/>
    <x v="1"/>
  </r>
  <r>
    <x v="17"/>
    <x v="15"/>
    <x v="16"/>
    <n v="0"/>
    <n v="0"/>
    <n v="0"/>
    <x v="16"/>
    <n v="3"/>
    <s v="run out"/>
    <n v="1"/>
    <x v="6"/>
    <s v="Bulawayo"/>
    <x v="17"/>
    <x v="0"/>
    <x v="0"/>
    <x v="0"/>
  </r>
  <r>
    <x v="18"/>
    <x v="16"/>
    <x v="17"/>
    <n v="92"/>
    <n v="4"/>
    <n v="0"/>
    <x v="17"/>
    <n v="3"/>
    <s v="caught"/>
    <n v="2"/>
    <x v="0"/>
    <s v="Bulawayo"/>
    <x v="18"/>
    <x v="0"/>
    <x v="0"/>
    <x v="1"/>
  </r>
  <r>
    <x v="19"/>
    <x v="17"/>
    <x v="18"/>
    <n v="95"/>
    <n v="5"/>
    <n v="0"/>
    <x v="18"/>
    <n v="3"/>
    <s v="caught"/>
    <n v="1"/>
    <x v="0"/>
    <s v="Harare"/>
    <x v="19"/>
    <x v="0"/>
    <x v="0"/>
    <x v="1"/>
  </r>
  <r>
    <x v="20"/>
    <x v="18"/>
    <x v="14"/>
    <n v="21"/>
    <n v="3"/>
    <n v="1"/>
    <x v="19"/>
    <n v="5"/>
    <s v="not out"/>
    <n v="2"/>
    <x v="6"/>
    <s v="Harare"/>
    <x v="20"/>
    <x v="1"/>
    <x v="0"/>
    <x v="0"/>
  </r>
  <r>
    <x v="21"/>
    <x v="19"/>
    <x v="19"/>
    <n v="22"/>
    <n v="0"/>
    <n v="0"/>
    <x v="20"/>
    <n v="3"/>
    <s v="stumped"/>
    <n v="2"/>
    <x v="4"/>
    <s v="Dambulla"/>
    <x v="21"/>
    <x v="0"/>
    <x v="0"/>
    <x v="0"/>
  </r>
  <r>
    <x v="22"/>
    <x v="8"/>
    <x v="20"/>
    <n v="14"/>
    <n v="1"/>
    <n v="0"/>
    <x v="21"/>
    <n v="3"/>
    <s v="caught"/>
    <n v="1"/>
    <x v="0"/>
    <s v="Dambulla"/>
    <x v="22"/>
    <x v="0"/>
    <x v="0"/>
    <x v="0"/>
  </r>
  <r>
    <x v="23"/>
    <x v="20"/>
    <x v="21"/>
    <n v="34"/>
    <n v="4"/>
    <n v="0"/>
    <x v="22"/>
    <n v="3"/>
    <s v="caught"/>
    <n v="1"/>
    <x v="0"/>
    <s v="Dambulla"/>
    <x v="23"/>
    <x v="0"/>
    <x v="0"/>
    <x v="0"/>
  </r>
  <r>
    <x v="24"/>
    <x v="15"/>
    <x v="22"/>
    <n v="3"/>
    <n v="0"/>
    <n v="0"/>
    <x v="23"/>
    <n v="3"/>
    <s v="caught"/>
    <n v="2"/>
    <x v="0"/>
    <s v="Dambulla"/>
    <x v="24"/>
    <x v="0"/>
    <x v="0"/>
    <x v="0"/>
  </r>
  <r>
    <x v="25"/>
    <x v="1"/>
    <x v="23"/>
    <n v="57"/>
    <n v="5"/>
    <n v="0"/>
    <x v="24"/>
    <n v="3"/>
    <s v="caught"/>
    <n v="2"/>
    <x v="0"/>
    <s v="Dambulla"/>
    <x v="25"/>
    <x v="0"/>
    <x v="0"/>
    <x v="0"/>
  </r>
  <r>
    <x v="26"/>
    <x v="21"/>
    <x v="24"/>
    <n v="121"/>
    <n v="11"/>
    <n v="1"/>
    <x v="25"/>
    <n v="3"/>
    <s v="caught"/>
    <n v="2"/>
    <x v="3"/>
    <s v="Visakhapatnam"/>
    <x v="26"/>
    <x v="0"/>
    <x v="1"/>
    <x v="0"/>
  </r>
  <r>
    <x v="27"/>
    <x v="22"/>
    <x v="25"/>
    <n v="104"/>
    <n v="10"/>
    <n v="0"/>
    <x v="26"/>
    <n v="3"/>
    <s v="caught"/>
    <n v="1"/>
    <x v="7"/>
    <s v="Guwahati"/>
    <x v="27"/>
    <x v="0"/>
    <x v="1"/>
    <x v="0"/>
  </r>
  <r>
    <x v="28"/>
    <x v="23"/>
    <x v="26"/>
    <n v="70"/>
    <n v="6"/>
    <n v="2"/>
    <x v="27"/>
    <n v="3"/>
    <s v="not out"/>
    <n v="2"/>
    <x v="7"/>
    <s v="Vadodara"/>
    <x v="28"/>
    <x v="0"/>
    <x v="0"/>
    <x v="1"/>
  </r>
  <r>
    <x v="29"/>
    <x v="15"/>
    <x v="16"/>
    <n v="2"/>
    <n v="0"/>
    <n v="0"/>
    <x v="23"/>
    <n v="3"/>
    <s v="caught"/>
    <n v="2"/>
    <x v="7"/>
    <s v="Bengaluru"/>
    <x v="29"/>
    <x v="0"/>
    <x v="0"/>
    <x v="0"/>
  </r>
  <r>
    <x v="30"/>
    <x v="4"/>
    <x v="27"/>
    <n v="8"/>
    <n v="0"/>
    <n v="0"/>
    <x v="14"/>
    <n v="3"/>
    <s v="caught"/>
    <n v="2"/>
    <x v="7"/>
    <s v="Chennai"/>
    <x v="30"/>
    <x v="0"/>
    <x v="0"/>
    <x v="0"/>
  </r>
  <r>
    <x v="31"/>
    <x v="20"/>
    <x v="5"/>
    <n v="19"/>
    <n v="5"/>
    <n v="0"/>
    <x v="28"/>
    <n v="1"/>
    <s v="bowled"/>
    <n v="1"/>
    <x v="5"/>
    <s v="Durban"/>
    <x v="31"/>
    <x v="1"/>
    <x v="0"/>
    <x v="0"/>
  </r>
  <r>
    <x v="32"/>
    <x v="24"/>
    <x v="28"/>
    <n v="70"/>
    <n v="2"/>
    <n v="1"/>
    <x v="29"/>
    <n v="3"/>
    <s v="caught"/>
    <n v="2"/>
    <x v="5"/>
    <s v="Durban"/>
    <x v="32"/>
    <x v="0"/>
    <x v="0"/>
    <x v="1"/>
  </r>
  <r>
    <x v="33"/>
    <x v="25"/>
    <x v="29"/>
    <n v="34"/>
    <n v="1"/>
    <n v="0"/>
    <x v="30"/>
    <n v="3"/>
    <s v="run out"/>
    <n v="1"/>
    <x v="5"/>
    <s v="Johannesburg"/>
    <x v="33"/>
    <x v="0"/>
    <x v="0"/>
    <x v="0"/>
  </r>
  <r>
    <x v="34"/>
    <x v="20"/>
    <x v="30"/>
    <n v="41"/>
    <n v="5"/>
    <n v="0"/>
    <x v="31"/>
    <n v="3"/>
    <s v="caught"/>
    <n v="2"/>
    <x v="5"/>
    <s v="Cape Town"/>
    <x v="34"/>
    <x v="0"/>
    <x v="0"/>
    <x v="0"/>
  </r>
  <r>
    <x v="35"/>
    <x v="4"/>
    <x v="31"/>
    <n v="6"/>
    <n v="0"/>
    <n v="0"/>
    <x v="32"/>
    <n v="3"/>
    <s v="caught"/>
    <n v="2"/>
    <x v="5"/>
    <s v="Centurion"/>
    <x v="35"/>
    <x v="0"/>
    <x v="0"/>
    <x v="0"/>
  </r>
  <r>
    <x v="36"/>
    <x v="26"/>
    <x v="32"/>
    <n v="83"/>
    <n v="8"/>
    <n v="2"/>
    <x v="33"/>
    <n v="4"/>
    <s v="not out"/>
    <n v="1"/>
    <x v="4"/>
    <s v="Mirpur"/>
    <x v="36"/>
    <x v="0"/>
    <x v="0"/>
    <x v="0"/>
  </r>
  <r>
    <x v="37"/>
    <x v="27"/>
    <x v="33"/>
    <n v="5"/>
    <n v="1"/>
    <n v="0"/>
    <x v="34"/>
    <n v="7"/>
    <s v="bowled"/>
    <n v="1"/>
    <x v="8"/>
    <s v="Bengaluru"/>
    <x v="37"/>
    <x v="0"/>
    <x v="0"/>
    <x v="0"/>
  </r>
  <r>
    <x v="38"/>
    <x v="28"/>
    <x v="1"/>
    <n v="53"/>
    <n v="3"/>
    <n v="0"/>
    <x v="35"/>
    <n v="4"/>
    <s v="run out"/>
    <n v="2"/>
    <x v="9"/>
    <s v="Bengaluru"/>
    <x v="38"/>
    <x v="0"/>
    <x v="0"/>
    <x v="0"/>
  </r>
  <r>
    <x v="39"/>
    <x v="0"/>
    <x v="34"/>
    <n v="20"/>
    <n v="2"/>
    <n v="0"/>
    <x v="36"/>
    <n v="5"/>
    <s v="bowled"/>
    <n v="2"/>
    <x v="10"/>
    <s v="Delhi"/>
    <x v="39"/>
    <x v="0"/>
    <x v="0"/>
    <x v="0"/>
  </r>
  <r>
    <x v="40"/>
    <x v="29"/>
    <x v="35"/>
    <n v="3"/>
    <n v="0"/>
    <n v="0"/>
    <x v="32"/>
    <n v="7"/>
    <s v="caught"/>
    <n v="1"/>
    <x v="5"/>
    <s v="Nagpur"/>
    <x v="40"/>
    <x v="0"/>
    <x v="0"/>
    <x v="0"/>
  </r>
  <r>
    <x v="41"/>
    <x v="30"/>
    <x v="13"/>
    <n v="76"/>
    <n v="5"/>
    <n v="0"/>
    <x v="37"/>
    <n v="3"/>
    <s v="bowled"/>
    <n v="1"/>
    <x v="2"/>
    <s v="Chennai"/>
    <x v="41"/>
    <x v="0"/>
    <x v="0"/>
    <x v="1"/>
  </r>
  <r>
    <x v="42"/>
    <x v="31"/>
    <x v="36"/>
    <n v="33"/>
    <n v="1"/>
    <n v="0"/>
    <x v="38"/>
    <n v="4"/>
    <s v="caught"/>
    <n v="2"/>
    <x v="3"/>
    <s v="Ahmedabad"/>
    <x v="42"/>
    <x v="0"/>
    <x v="0"/>
    <x v="0"/>
  </r>
  <r>
    <x v="43"/>
    <x v="11"/>
    <x v="9"/>
    <n v="21"/>
    <n v="0"/>
    <n v="0"/>
    <x v="39"/>
    <n v="4"/>
    <s v="caught"/>
    <n v="1"/>
    <x v="1"/>
    <s v="Mohali"/>
    <x v="43"/>
    <x v="0"/>
    <x v="0"/>
    <x v="0"/>
  </r>
  <r>
    <x v="44"/>
    <x v="32"/>
    <x v="37"/>
    <n v="49"/>
    <n v="4"/>
    <n v="0"/>
    <x v="21"/>
    <n v="4"/>
    <s v="caught"/>
    <n v="2"/>
    <x v="0"/>
    <s v="Wankhede"/>
    <x v="44"/>
    <x v="0"/>
    <x v="0"/>
    <x v="0"/>
  </r>
  <r>
    <x v="45"/>
    <x v="33"/>
    <x v="38"/>
    <n v="12"/>
    <n v="2"/>
    <n v="0"/>
    <x v="40"/>
    <n v="3"/>
    <s v="caught"/>
    <n v="1"/>
    <x v="2"/>
    <s v="Port of Spain"/>
    <x v="45"/>
    <x v="1"/>
    <x v="0"/>
    <x v="0"/>
  </r>
  <r>
    <x v="46"/>
    <x v="4"/>
    <x v="22"/>
    <n v="8"/>
    <n v="0"/>
    <n v="0"/>
    <x v="14"/>
    <n v="3"/>
    <s v="caught"/>
    <n v="2"/>
    <x v="2"/>
    <s v="Port of Spain"/>
    <x v="46"/>
    <x v="0"/>
    <x v="0"/>
    <x v="0"/>
  </r>
  <r>
    <x v="47"/>
    <x v="34"/>
    <x v="39"/>
    <n v="103"/>
    <n v="6"/>
    <n v="1"/>
    <x v="41"/>
    <n v="3"/>
    <s v="caught"/>
    <n v="2"/>
    <x v="2"/>
    <s v="Port of Spain"/>
    <x v="47"/>
    <x v="0"/>
    <x v="0"/>
    <x v="1"/>
  </r>
  <r>
    <x v="48"/>
    <x v="15"/>
    <x v="40"/>
    <n v="1"/>
    <n v="0"/>
    <n v="0"/>
    <x v="23"/>
    <n v="3"/>
    <s v="lbw"/>
    <n v="2"/>
    <x v="2"/>
    <s v="North Sound"/>
    <x v="48"/>
    <x v="0"/>
    <x v="0"/>
    <x v="0"/>
  </r>
  <r>
    <x v="49"/>
    <x v="25"/>
    <x v="41"/>
    <n v="33"/>
    <n v="1"/>
    <n v="0"/>
    <x v="5"/>
    <n v="3"/>
    <s v="stumped"/>
    <n v="2"/>
    <x v="2"/>
    <s v="North Sound"/>
    <x v="49"/>
    <x v="0"/>
    <x v="0"/>
    <x v="0"/>
  </r>
  <r>
    <x v="50"/>
    <x v="35"/>
    <x v="42"/>
    <n v="104"/>
    <n v="10"/>
    <n v="0"/>
    <x v="42"/>
    <n v="3"/>
    <s v="run out"/>
    <n v="1"/>
    <x v="2"/>
    <s v="Kingston"/>
    <x v="50"/>
    <x v="0"/>
    <x v="0"/>
    <x v="1"/>
  </r>
  <r>
    <x v="51"/>
    <x v="36"/>
    <x v="20"/>
    <n v="10"/>
    <n v="1"/>
    <n v="0"/>
    <x v="43"/>
    <n v="5"/>
    <s v="caught"/>
    <n v="1"/>
    <x v="2"/>
    <s v="Kingston"/>
    <x v="51"/>
    <x v="2"/>
    <x v="0"/>
    <x v="0"/>
  </r>
  <r>
    <x v="52"/>
    <x v="37"/>
    <x v="43"/>
    <n v="54"/>
    <n v="2"/>
    <n v="0"/>
    <x v="44"/>
    <n v="5"/>
    <s v="caught"/>
    <n v="3"/>
    <x v="2"/>
    <s v="Kingston"/>
    <x v="51"/>
    <x v="2"/>
    <x v="0"/>
    <x v="0"/>
  </r>
  <r>
    <x v="53"/>
    <x v="15"/>
    <x v="40"/>
    <n v="2"/>
    <n v="0"/>
    <n v="0"/>
    <x v="23"/>
    <n v="5"/>
    <s v="caught"/>
    <n v="1"/>
    <x v="2"/>
    <s v="Bridgetown"/>
    <x v="52"/>
    <x v="2"/>
    <x v="0"/>
    <x v="0"/>
  </r>
  <r>
    <x v="54"/>
    <x v="9"/>
    <x v="39"/>
    <n v="107"/>
    <n v="1"/>
    <n v="1"/>
    <x v="45"/>
    <n v="5"/>
    <s v="caught"/>
    <n v="3"/>
    <x v="2"/>
    <s v="Bridgetown"/>
    <x v="52"/>
    <x v="2"/>
    <x v="0"/>
    <x v="0"/>
  </r>
  <r>
    <x v="55"/>
    <x v="7"/>
    <x v="44"/>
    <n v="53"/>
    <n v="2"/>
    <n v="0"/>
    <x v="46"/>
    <n v="5"/>
    <s v="caught"/>
    <n v="2"/>
    <x v="2"/>
    <s v="Roseau"/>
    <x v="53"/>
    <x v="2"/>
    <x v="0"/>
    <x v="0"/>
  </r>
  <r>
    <x v="56"/>
    <x v="36"/>
    <x v="22"/>
    <n v="5"/>
    <n v="0"/>
    <n v="0"/>
    <x v="47"/>
    <n v="4"/>
    <s v="caught"/>
    <n v="1"/>
    <x v="8"/>
    <s v="Manchester"/>
    <x v="54"/>
    <x v="1"/>
    <x v="0"/>
    <x v="0"/>
  </r>
  <r>
    <x v="57"/>
    <x v="38"/>
    <x v="45"/>
    <n v="73"/>
    <n v="4"/>
    <n v="0"/>
    <x v="48"/>
    <n v="4"/>
    <s v="bowled"/>
    <n v="1"/>
    <x v="8"/>
    <s v="Chester-le-Street"/>
    <x v="55"/>
    <x v="0"/>
    <x v="0"/>
    <x v="1"/>
  </r>
  <r>
    <x v="58"/>
    <x v="11"/>
    <x v="46"/>
    <n v="9"/>
    <n v="0"/>
    <n v="0"/>
    <x v="4"/>
    <n v="4"/>
    <s v="caught"/>
    <n v="1"/>
    <x v="8"/>
    <s v="Southampton"/>
    <x v="56"/>
    <x v="0"/>
    <x v="0"/>
    <x v="0"/>
  </r>
  <r>
    <x v="59"/>
    <x v="39"/>
    <x v="47"/>
    <n v="18"/>
    <n v="0"/>
    <n v="0"/>
    <x v="49"/>
    <n v="4"/>
    <s v="caught"/>
    <n v="1"/>
    <x v="8"/>
    <s v="The Oval"/>
    <x v="57"/>
    <x v="0"/>
    <x v="0"/>
    <x v="0"/>
  </r>
  <r>
    <x v="60"/>
    <x v="5"/>
    <x v="2"/>
    <n v="36"/>
    <n v="1"/>
    <n v="0"/>
    <x v="50"/>
    <n v="4"/>
    <s v="caught"/>
    <n v="1"/>
    <x v="8"/>
    <s v="Lord's"/>
    <x v="58"/>
    <x v="0"/>
    <x v="0"/>
    <x v="0"/>
  </r>
  <r>
    <x v="61"/>
    <x v="10"/>
    <x v="48"/>
    <n v="93"/>
    <n v="9"/>
    <n v="1"/>
    <x v="51"/>
    <n v="4"/>
    <s v="hit wicket"/>
    <n v="1"/>
    <x v="8"/>
    <s v="Cardiff"/>
    <x v="59"/>
    <x v="0"/>
    <x v="1"/>
    <x v="0"/>
  </r>
  <r>
    <x v="62"/>
    <x v="1"/>
    <x v="49"/>
    <n v="63"/>
    <n v="0"/>
    <n v="0"/>
    <x v="52"/>
    <n v="4"/>
    <s v="caught"/>
    <n v="1"/>
    <x v="8"/>
    <s v="Hyderabad"/>
    <x v="60"/>
    <x v="0"/>
    <x v="0"/>
    <x v="0"/>
  </r>
  <r>
    <x v="63"/>
    <x v="40"/>
    <x v="50"/>
    <n v="98"/>
    <n v="16"/>
    <n v="0"/>
    <x v="53"/>
    <n v="4"/>
    <s v="not out"/>
    <n v="2"/>
    <x v="8"/>
    <s v="Delhi"/>
    <x v="61"/>
    <x v="0"/>
    <x v="1"/>
    <x v="0"/>
  </r>
  <r>
    <x v="64"/>
    <x v="32"/>
    <x v="51"/>
    <n v="30"/>
    <n v="5"/>
    <n v="0"/>
    <x v="40"/>
    <n v="4"/>
    <s v="lbw"/>
    <n v="2"/>
    <x v="8"/>
    <s v="Mohali"/>
    <x v="62"/>
    <x v="0"/>
    <x v="0"/>
    <x v="0"/>
  </r>
  <r>
    <x v="65"/>
    <x v="41"/>
    <x v="52"/>
    <n v="99"/>
    <n v="11"/>
    <n v="0"/>
    <x v="54"/>
    <n v="4"/>
    <s v="not out"/>
    <n v="2"/>
    <x v="8"/>
    <s v="Wankhede"/>
    <x v="63"/>
    <x v="0"/>
    <x v="0"/>
    <x v="1"/>
  </r>
  <r>
    <x v="66"/>
    <x v="15"/>
    <x v="22"/>
    <n v="5"/>
    <n v="0"/>
    <n v="0"/>
    <x v="23"/>
    <n v="3"/>
    <s v="bowled"/>
    <n v="1"/>
    <x v="8"/>
    <s v="Eden Gardens"/>
    <x v="64"/>
    <x v="0"/>
    <x v="0"/>
    <x v="0"/>
  </r>
  <r>
    <x v="67"/>
    <x v="37"/>
    <x v="53"/>
    <n v="16"/>
    <n v="3"/>
    <n v="0"/>
    <x v="55"/>
    <n v="3"/>
    <s v="caught"/>
    <n v="1"/>
    <x v="8"/>
    <s v="Eden Gardens"/>
    <x v="65"/>
    <x v="1"/>
    <x v="0"/>
    <x v="0"/>
  </r>
  <r>
    <x v="68"/>
    <x v="42"/>
    <x v="54"/>
    <n v="111"/>
    <n v="5"/>
    <n v="0"/>
    <x v="56"/>
    <n v="6"/>
    <s v="caught"/>
    <n v="2"/>
    <x v="2"/>
    <s v="Wankhede"/>
    <x v="66"/>
    <x v="2"/>
    <x v="0"/>
    <x v="1"/>
  </r>
  <r>
    <x v="69"/>
    <x v="23"/>
    <x v="12"/>
    <n v="114"/>
    <n v="3"/>
    <n v="1"/>
    <x v="57"/>
    <n v="6"/>
    <s v="caught"/>
    <n v="4"/>
    <x v="2"/>
    <s v="Wankhede"/>
    <x v="66"/>
    <x v="2"/>
    <x v="0"/>
    <x v="1"/>
  </r>
  <r>
    <x v="70"/>
    <x v="43"/>
    <x v="20"/>
    <n v="6"/>
    <n v="0"/>
    <n v="0"/>
    <x v="20"/>
    <n v="4"/>
    <s v="bowled"/>
    <n v="2"/>
    <x v="2"/>
    <s v="Cuttack"/>
    <x v="67"/>
    <x v="0"/>
    <x v="0"/>
    <x v="0"/>
  </r>
  <r>
    <x v="71"/>
    <x v="44"/>
    <x v="54"/>
    <n v="123"/>
    <n v="14"/>
    <n v="0"/>
    <x v="58"/>
    <n v="4"/>
    <s v="caught"/>
    <n v="2"/>
    <x v="2"/>
    <s v="Visakhapatnam"/>
    <x v="68"/>
    <x v="0"/>
    <x v="1"/>
    <x v="0"/>
  </r>
  <r>
    <x v="72"/>
    <x v="45"/>
    <x v="53"/>
    <n v="30"/>
    <n v="3"/>
    <n v="0"/>
    <x v="5"/>
    <n v="4"/>
    <s v="lbw"/>
    <n v="2"/>
    <x v="2"/>
    <s v="Ahmedabad"/>
    <x v="69"/>
    <x v="0"/>
    <x v="0"/>
    <x v="0"/>
  </r>
  <r>
    <x v="73"/>
    <x v="46"/>
    <x v="38"/>
    <n v="11"/>
    <n v="3"/>
    <n v="0"/>
    <x v="59"/>
    <n v="6"/>
    <s v="not out"/>
    <n v="1"/>
    <x v="2"/>
    <s v="Indore"/>
    <x v="70"/>
    <x v="0"/>
    <x v="0"/>
    <x v="0"/>
  </r>
  <r>
    <x v="74"/>
    <x v="47"/>
    <x v="55"/>
    <n v="85"/>
    <n v="5"/>
    <n v="0"/>
    <x v="60"/>
    <n v="5"/>
    <s v="caught"/>
    <n v="1"/>
    <x v="2"/>
    <s v="Chennai"/>
    <x v="71"/>
    <x v="0"/>
    <x v="0"/>
    <x v="1"/>
  </r>
  <r>
    <x v="75"/>
    <x v="19"/>
    <x v="5"/>
    <n v="21"/>
    <n v="1"/>
    <n v="0"/>
    <x v="61"/>
    <n v="7"/>
    <s v="caught"/>
    <n v="2"/>
    <x v="3"/>
    <s v="Melbourne"/>
    <x v="72"/>
    <x v="2"/>
    <x v="0"/>
    <x v="0"/>
  </r>
  <r>
    <x v="76"/>
    <x v="15"/>
    <x v="16"/>
    <n v="1"/>
    <n v="0"/>
    <n v="0"/>
    <x v="23"/>
    <n v="6"/>
    <s v="lbw"/>
    <n v="4"/>
    <x v="3"/>
    <s v="Melbourne"/>
    <x v="72"/>
    <x v="2"/>
    <x v="0"/>
    <x v="0"/>
  </r>
  <r>
    <x v="77"/>
    <x v="46"/>
    <x v="52"/>
    <n v="41"/>
    <n v="3"/>
    <n v="0"/>
    <x v="62"/>
    <n v="6"/>
    <s v="caught"/>
    <n v="1"/>
    <x v="3"/>
    <s v="Sydney"/>
    <x v="73"/>
    <x v="2"/>
    <x v="0"/>
    <x v="0"/>
  </r>
  <r>
    <x v="78"/>
    <x v="11"/>
    <x v="19"/>
    <n v="24"/>
    <n v="2"/>
    <n v="0"/>
    <x v="63"/>
    <n v="6"/>
    <s v="lbw"/>
    <n v="3"/>
    <x v="3"/>
    <s v="Sydney"/>
    <x v="73"/>
    <x v="2"/>
    <x v="0"/>
    <x v="0"/>
  </r>
  <r>
    <x v="79"/>
    <x v="48"/>
    <x v="56"/>
    <n v="81"/>
    <n v="6"/>
    <n v="0"/>
    <x v="64"/>
    <n v="6"/>
    <s v="caught"/>
    <n v="1"/>
    <x v="3"/>
    <s v="W.A.C.A"/>
    <x v="74"/>
    <x v="2"/>
    <x v="0"/>
    <x v="0"/>
  </r>
  <r>
    <x v="80"/>
    <x v="49"/>
    <x v="57"/>
    <n v="136"/>
    <n v="9"/>
    <n v="0"/>
    <x v="65"/>
    <n v="6"/>
    <s v="caught"/>
    <n v="3"/>
    <x v="3"/>
    <s v="W.A.C.A"/>
    <x v="74"/>
    <x v="2"/>
    <x v="0"/>
    <x v="1"/>
  </r>
  <r>
    <x v="81"/>
    <x v="50"/>
    <x v="58"/>
    <n v="213"/>
    <n v="11"/>
    <n v="1"/>
    <x v="66"/>
    <n v="6"/>
    <s v="lbw"/>
    <n v="2"/>
    <x v="3"/>
    <s v="Adelaide"/>
    <x v="75"/>
    <x v="2"/>
    <x v="1"/>
    <x v="0"/>
  </r>
  <r>
    <x v="82"/>
    <x v="25"/>
    <x v="59"/>
    <n v="62"/>
    <n v="2"/>
    <n v="0"/>
    <x v="67"/>
    <n v="6"/>
    <s v="run out"/>
    <n v="4"/>
    <x v="3"/>
    <s v="Adelaide"/>
    <x v="75"/>
    <x v="2"/>
    <x v="0"/>
    <x v="0"/>
  </r>
  <r>
    <x v="83"/>
    <x v="25"/>
    <x v="14"/>
    <n v="21"/>
    <n v="0"/>
    <n v="1"/>
    <x v="68"/>
    <n v="3"/>
    <s v="caught"/>
    <n v="2"/>
    <x v="3"/>
    <s v="Sydney"/>
    <x v="76"/>
    <x v="1"/>
    <x v="0"/>
    <x v="0"/>
  </r>
  <r>
    <x v="84"/>
    <x v="3"/>
    <x v="60"/>
    <n v="24"/>
    <n v="3"/>
    <n v="0"/>
    <x v="69"/>
    <n v="3"/>
    <s v="caught"/>
    <n v="2"/>
    <x v="3"/>
    <s v="Melbourne"/>
    <x v="77"/>
    <x v="1"/>
    <x v="0"/>
    <x v="0"/>
  </r>
  <r>
    <x v="85"/>
    <x v="3"/>
    <x v="14"/>
    <n v="34"/>
    <n v="3"/>
    <n v="0"/>
    <x v="70"/>
    <n v="3"/>
    <s v="caught"/>
    <n v="2"/>
    <x v="3"/>
    <s v="Melbourne"/>
    <x v="78"/>
    <x v="0"/>
    <x v="0"/>
    <x v="0"/>
  </r>
  <r>
    <x v="86"/>
    <x v="51"/>
    <x v="61"/>
    <n v="94"/>
    <n v="8"/>
    <n v="1"/>
    <x v="71"/>
    <n v="3"/>
    <s v="run out"/>
    <n v="2"/>
    <x v="0"/>
    <s v="W.A.C.A"/>
    <x v="79"/>
    <x v="0"/>
    <x v="0"/>
    <x v="1"/>
  </r>
  <r>
    <x v="87"/>
    <x v="52"/>
    <x v="62"/>
    <n v="28"/>
    <n v="1"/>
    <n v="0"/>
    <x v="72"/>
    <n v="3"/>
    <s v="caught"/>
    <n v="2"/>
    <x v="3"/>
    <s v="Adelaide"/>
    <x v="80"/>
    <x v="0"/>
    <x v="0"/>
    <x v="0"/>
  </r>
  <r>
    <x v="88"/>
    <x v="37"/>
    <x v="8"/>
    <n v="25"/>
    <n v="1"/>
    <n v="0"/>
    <x v="36"/>
    <n v="3"/>
    <s v="lbw"/>
    <n v="2"/>
    <x v="0"/>
    <s v="Adelaide"/>
    <x v="81"/>
    <x v="0"/>
    <x v="0"/>
    <x v="0"/>
  </r>
  <r>
    <x v="89"/>
    <x v="0"/>
    <x v="63"/>
    <n v="25"/>
    <n v="0"/>
    <n v="0"/>
    <x v="73"/>
    <n v="3"/>
    <s v="caught"/>
    <n v="2"/>
    <x v="3"/>
    <s v="Brisbane"/>
    <x v="82"/>
    <x v="0"/>
    <x v="0"/>
    <x v="0"/>
  </r>
  <r>
    <x v="90"/>
    <x v="53"/>
    <x v="64"/>
    <n v="83"/>
    <n v="2"/>
    <n v="0"/>
    <x v="74"/>
    <n v="4"/>
    <s v="caught"/>
    <n v="2"/>
    <x v="0"/>
    <s v="Brisbane"/>
    <x v="83"/>
    <x v="0"/>
    <x v="0"/>
    <x v="1"/>
  </r>
  <r>
    <x v="91"/>
    <x v="54"/>
    <x v="65"/>
    <n v="27"/>
    <n v="2"/>
    <n v="0"/>
    <x v="75"/>
    <n v="4"/>
    <s v="caught"/>
    <n v="2"/>
    <x v="3"/>
    <s v="Sydney"/>
    <x v="84"/>
    <x v="0"/>
    <x v="0"/>
    <x v="0"/>
  </r>
  <r>
    <x v="92"/>
    <x v="55"/>
    <x v="66"/>
    <n v="86"/>
    <n v="16"/>
    <n v="2"/>
    <x v="76"/>
    <n v="4"/>
    <s v="not out"/>
    <n v="2"/>
    <x v="0"/>
    <s v="Hobart"/>
    <x v="85"/>
    <x v="0"/>
    <x v="1"/>
    <x v="0"/>
  </r>
  <r>
    <x v="93"/>
    <x v="56"/>
    <x v="67"/>
    <n v="120"/>
    <n v="7"/>
    <n v="0"/>
    <x v="27"/>
    <n v="3"/>
    <s v="caught"/>
    <n v="1"/>
    <x v="0"/>
    <s v="Mirpur"/>
    <x v="86"/>
    <x v="0"/>
    <x v="1"/>
    <x v="0"/>
  </r>
  <r>
    <x v="94"/>
    <x v="53"/>
    <x v="68"/>
    <n v="82"/>
    <n v="5"/>
    <n v="0"/>
    <x v="77"/>
    <n v="3"/>
    <s v="bowled"/>
    <n v="1"/>
    <x v="4"/>
    <s v="Mirpur"/>
    <x v="87"/>
    <x v="0"/>
    <x v="0"/>
    <x v="1"/>
  </r>
  <r>
    <x v="95"/>
    <x v="57"/>
    <x v="69"/>
    <n v="148"/>
    <n v="22"/>
    <n v="1"/>
    <x v="78"/>
    <n v="3"/>
    <s v="caught"/>
    <n v="2"/>
    <x v="1"/>
    <s v="Mirpur"/>
    <x v="88"/>
    <x v="0"/>
    <x v="1"/>
    <x v="0"/>
  </r>
  <r>
    <x v="96"/>
    <x v="58"/>
    <x v="70"/>
    <n v="113"/>
    <n v="9"/>
    <n v="0"/>
    <x v="79"/>
    <n v="3"/>
    <s v="caught"/>
    <n v="1"/>
    <x v="0"/>
    <s v="Hambantota"/>
    <x v="89"/>
    <x v="0"/>
    <x v="1"/>
    <x v="0"/>
  </r>
  <r>
    <x v="97"/>
    <x v="29"/>
    <x v="4"/>
    <n v="5"/>
    <n v="0"/>
    <n v="0"/>
    <x v="80"/>
    <n v="3"/>
    <s v="caught"/>
    <n v="1"/>
    <x v="0"/>
    <s v="Hambantota"/>
    <x v="90"/>
    <x v="0"/>
    <x v="0"/>
    <x v="0"/>
  </r>
  <r>
    <x v="98"/>
    <x v="59"/>
    <x v="71"/>
    <n v="65"/>
    <n v="2"/>
    <n v="0"/>
    <x v="81"/>
    <n v="3"/>
    <s v="caught"/>
    <n v="2"/>
    <x v="0"/>
    <s v="Colombo (RPS)"/>
    <x v="91"/>
    <x v="0"/>
    <x v="0"/>
    <x v="0"/>
  </r>
  <r>
    <x v="99"/>
    <x v="60"/>
    <x v="72"/>
    <n v="119"/>
    <n v="12"/>
    <n v="1"/>
    <x v="82"/>
    <n v="3"/>
    <s v="not out"/>
    <n v="2"/>
    <x v="0"/>
    <s v="Colombo (RPS)"/>
    <x v="92"/>
    <x v="0"/>
    <x v="1"/>
    <x v="0"/>
  </r>
  <r>
    <x v="100"/>
    <x v="46"/>
    <x v="51"/>
    <n v="35"/>
    <n v="2"/>
    <n v="0"/>
    <x v="83"/>
    <n v="3"/>
    <s v="lbw"/>
    <n v="1"/>
    <x v="0"/>
    <s v="Pallekele"/>
    <x v="93"/>
    <x v="0"/>
    <x v="0"/>
    <x v="0"/>
  </r>
  <r>
    <x v="101"/>
    <x v="17"/>
    <x v="73"/>
    <n v="48"/>
    <n v="11"/>
    <n v="1"/>
    <x v="84"/>
    <n v="3"/>
    <s v="caught"/>
    <n v="1"/>
    <x v="0"/>
    <s v="Pallekele"/>
    <x v="94"/>
    <x v="1"/>
    <x v="0"/>
    <x v="1"/>
  </r>
  <r>
    <x v="102"/>
    <x v="61"/>
    <x v="74"/>
    <n v="107"/>
    <n v="8"/>
    <n v="0"/>
    <x v="85"/>
    <n v="5"/>
    <s v="caught"/>
    <n v="1"/>
    <x v="7"/>
    <s v="Hyderabad"/>
    <x v="95"/>
    <x v="2"/>
    <x v="0"/>
    <x v="1"/>
  </r>
  <r>
    <x v="103"/>
    <x v="62"/>
    <x v="75"/>
    <n v="193"/>
    <n v="14"/>
    <n v="1"/>
    <x v="86"/>
    <n v="5"/>
    <s v="lbw"/>
    <n v="2"/>
    <x v="7"/>
    <s v="Bengaluru"/>
    <x v="96"/>
    <x v="2"/>
    <x v="1"/>
    <x v="0"/>
  </r>
  <r>
    <x v="104"/>
    <x v="63"/>
    <x v="76"/>
    <n v="82"/>
    <n v="9"/>
    <n v="0"/>
    <x v="87"/>
    <n v="5"/>
    <s v="not out"/>
    <n v="4"/>
    <x v="7"/>
    <s v="Bengaluru"/>
    <x v="96"/>
    <x v="2"/>
    <x v="0"/>
    <x v="1"/>
  </r>
  <r>
    <x v="105"/>
    <x v="64"/>
    <x v="77"/>
    <n v="41"/>
    <n v="10"/>
    <n v="1"/>
    <x v="88"/>
    <n v="2"/>
    <s v="caught"/>
    <n v="2"/>
    <x v="7"/>
    <s v="Chennai"/>
    <x v="97"/>
    <x v="1"/>
    <x v="0"/>
    <x v="1"/>
  </r>
  <r>
    <x v="106"/>
    <x v="65"/>
    <x v="78"/>
    <n v="39"/>
    <n v="4"/>
    <n v="2"/>
    <x v="89"/>
    <n v="3"/>
    <s v="caught"/>
    <n v="1"/>
    <x v="11"/>
    <s v="Colombo (RPS)"/>
    <x v="98"/>
    <x v="1"/>
    <x v="0"/>
    <x v="1"/>
  </r>
  <r>
    <x v="107"/>
    <x v="66"/>
    <x v="0"/>
    <n v="32"/>
    <n v="6"/>
    <n v="0"/>
    <x v="90"/>
    <n v="3"/>
    <s v="caught"/>
    <n v="1"/>
    <x v="8"/>
    <s v="Colombo (RPS)"/>
    <x v="99"/>
    <x v="1"/>
    <x v="0"/>
    <x v="0"/>
  </r>
  <r>
    <x v="108"/>
    <x v="37"/>
    <x v="47"/>
    <n v="13"/>
    <n v="2"/>
    <n v="0"/>
    <x v="91"/>
    <n v="3"/>
    <s v="caught"/>
    <n v="1"/>
    <x v="3"/>
    <s v="Colombo (RPS)"/>
    <x v="100"/>
    <x v="1"/>
    <x v="0"/>
    <x v="0"/>
  </r>
  <r>
    <x v="109"/>
    <x v="67"/>
    <x v="79"/>
    <n v="61"/>
    <n v="8"/>
    <n v="2"/>
    <x v="92"/>
    <n v="3"/>
    <s v="not out"/>
    <n v="2"/>
    <x v="1"/>
    <s v="Colombo (RPS)"/>
    <x v="101"/>
    <x v="1"/>
    <x v="0"/>
    <x v="1"/>
  </r>
  <r>
    <x v="110"/>
    <x v="4"/>
    <x v="22"/>
    <n v="6"/>
    <n v="0"/>
    <n v="0"/>
    <x v="32"/>
    <n v="3"/>
    <s v="caught"/>
    <n v="1"/>
    <x v="5"/>
    <s v="Colombo (RPS)"/>
    <x v="102"/>
    <x v="1"/>
    <x v="0"/>
    <x v="0"/>
  </r>
  <r>
    <x v="111"/>
    <x v="68"/>
    <x v="49"/>
    <n v="67"/>
    <n v="3"/>
    <n v="0"/>
    <x v="93"/>
    <n v="5"/>
    <s v="bowled"/>
    <n v="1"/>
    <x v="8"/>
    <s v="Ahmedabad"/>
    <x v="103"/>
    <x v="2"/>
    <x v="0"/>
    <x v="0"/>
  </r>
  <r>
    <x v="112"/>
    <x v="33"/>
    <x v="80"/>
    <n v="21"/>
    <n v="3"/>
    <n v="0"/>
    <x v="5"/>
    <n v="3"/>
    <s v="not out"/>
    <n v="4"/>
    <x v="8"/>
    <s v="Ahmedabad"/>
    <x v="103"/>
    <x v="2"/>
    <x v="0"/>
    <x v="0"/>
  </r>
  <r>
    <x v="113"/>
    <x v="68"/>
    <x v="73"/>
    <n v="55"/>
    <n v="3"/>
    <n v="0"/>
    <x v="94"/>
    <n v="5"/>
    <s v="caught"/>
    <n v="1"/>
    <x v="8"/>
    <s v="Wankhede"/>
    <x v="104"/>
    <x v="2"/>
    <x v="0"/>
    <x v="0"/>
  </r>
  <r>
    <x v="114"/>
    <x v="39"/>
    <x v="34"/>
    <n v="13"/>
    <n v="1"/>
    <n v="0"/>
    <x v="95"/>
    <n v="5"/>
    <s v="caught"/>
    <n v="3"/>
    <x v="8"/>
    <s v="Wankhede"/>
    <x v="104"/>
    <x v="2"/>
    <x v="0"/>
    <x v="0"/>
  </r>
  <r>
    <x v="115"/>
    <x v="69"/>
    <x v="81"/>
    <n v="24"/>
    <n v="1"/>
    <n v="0"/>
    <x v="14"/>
    <n v="5"/>
    <s v="caught"/>
    <n v="1"/>
    <x v="8"/>
    <s v="Eden Gardens"/>
    <x v="105"/>
    <x v="2"/>
    <x v="0"/>
    <x v="0"/>
  </r>
  <r>
    <x v="116"/>
    <x v="45"/>
    <x v="82"/>
    <n v="60"/>
    <n v="3"/>
    <n v="0"/>
    <x v="32"/>
    <n v="5"/>
    <s v="caught"/>
    <n v="3"/>
    <x v="8"/>
    <s v="Eden Gardens"/>
    <x v="105"/>
    <x v="2"/>
    <x v="0"/>
    <x v="0"/>
  </r>
  <r>
    <x v="117"/>
    <x v="62"/>
    <x v="83"/>
    <n v="295"/>
    <n v="11"/>
    <n v="0"/>
    <x v="96"/>
    <n v="5"/>
    <s v="lbw"/>
    <n v="2"/>
    <x v="8"/>
    <s v="Nagpur"/>
    <x v="106"/>
    <x v="2"/>
    <x v="1"/>
    <x v="0"/>
  </r>
  <r>
    <x v="118"/>
    <x v="54"/>
    <x v="19"/>
    <n v="17"/>
    <n v="2"/>
    <n v="0"/>
    <x v="97"/>
    <n v="3"/>
    <s v="bowled"/>
    <n v="2"/>
    <x v="8"/>
    <s v="Pune"/>
    <x v="107"/>
    <x v="1"/>
    <x v="0"/>
    <x v="0"/>
  </r>
  <r>
    <x v="119"/>
    <x v="59"/>
    <x v="15"/>
    <n v="20"/>
    <n v="7"/>
    <n v="0"/>
    <x v="98"/>
    <n v="3"/>
    <s v="lbw"/>
    <n v="1"/>
    <x v="8"/>
    <s v="Wankhede"/>
    <x v="108"/>
    <x v="1"/>
    <x v="0"/>
    <x v="0"/>
  </r>
  <r>
    <x v="120"/>
    <x v="11"/>
    <x v="38"/>
    <n v="11"/>
    <n v="1"/>
    <n v="0"/>
    <x v="99"/>
    <n v="3"/>
    <s v="caught"/>
    <n v="1"/>
    <x v="1"/>
    <s v="Bengaluru"/>
    <x v="109"/>
    <x v="1"/>
    <x v="0"/>
    <x v="0"/>
  </r>
  <r>
    <x v="121"/>
    <x v="9"/>
    <x v="81"/>
    <n v="22"/>
    <n v="3"/>
    <n v="0"/>
    <x v="100"/>
    <n v="3"/>
    <s v="run out"/>
    <n v="1"/>
    <x v="1"/>
    <s v="Ahmedabad"/>
    <x v="110"/>
    <x v="1"/>
    <x v="0"/>
    <x v="0"/>
  </r>
  <r>
    <x v="122"/>
    <x v="15"/>
    <x v="46"/>
    <n v="5"/>
    <n v="0"/>
    <n v="0"/>
    <x v="23"/>
    <n v="3"/>
    <s v="bowled"/>
    <n v="1"/>
    <x v="1"/>
    <s v="Chennai"/>
    <x v="111"/>
    <x v="0"/>
    <x v="0"/>
    <x v="0"/>
  </r>
  <r>
    <x v="123"/>
    <x v="69"/>
    <x v="33"/>
    <n v="9"/>
    <n v="1"/>
    <n v="0"/>
    <x v="5"/>
    <n v="3"/>
    <s v="caught"/>
    <n v="2"/>
    <x v="1"/>
    <s v="Eden Gardens"/>
    <x v="112"/>
    <x v="0"/>
    <x v="0"/>
    <x v="0"/>
  </r>
  <r>
    <x v="124"/>
    <x v="39"/>
    <x v="15"/>
    <n v="17"/>
    <n v="1"/>
    <n v="0"/>
    <x v="101"/>
    <n v="3"/>
    <s v="caught"/>
    <n v="1"/>
    <x v="1"/>
    <s v="Delhi"/>
    <x v="113"/>
    <x v="0"/>
    <x v="0"/>
    <x v="0"/>
  </r>
  <r>
    <x v="125"/>
    <x v="37"/>
    <x v="3"/>
    <n v="22"/>
    <n v="1"/>
    <n v="0"/>
    <x v="102"/>
    <n v="3"/>
    <s v="caught"/>
    <n v="2"/>
    <x v="8"/>
    <s v="Rajkot"/>
    <x v="114"/>
    <x v="0"/>
    <x v="0"/>
    <x v="0"/>
  </r>
  <r>
    <x v="126"/>
    <x v="1"/>
    <x v="82"/>
    <n v="54"/>
    <n v="1"/>
    <n v="1"/>
    <x v="103"/>
    <n v="3"/>
    <s v="caught"/>
    <n v="1"/>
    <x v="8"/>
    <s v="Kochi"/>
    <x v="115"/>
    <x v="0"/>
    <x v="0"/>
    <x v="0"/>
  </r>
  <r>
    <x v="127"/>
    <x v="51"/>
    <x v="84"/>
    <n v="79"/>
    <n v="9"/>
    <n v="2"/>
    <x v="104"/>
    <n v="3"/>
    <s v="not out"/>
    <n v="2"/>
    <x v="8"/>
    <s v="Ranchi"/>
    <x v="116"/>
    <x v="0"/>
    <x v="0"/>
    <x v="1"/>
  </r>
  <r>
    <x v="128"/>
    <x v="18"/>
    <x v="63"/>
    <n v="33"/>
    <n v="3"/>
    <n v="0"/>
    <x v="105"/>
    <n v="3"/>
    <s v="caught"/>
    <n v="2"/>
    <x v="8"/>
    <s v="Mohali"/>
    <x v="117"/>
    <x v="0"/>
    <x v="0"/>
    <x v="0"/>
  </r>
  <r>
    <x v="129"/>
    <x v="15"/>
    <x v="40"/>
    <n v="1"/>
    <n v="0"/>
    <n v="0"/>
    <x v="23"/>
    <n v="3"/>
    <s v="caught"/>
    <n v="1"/>
    <x v="8"/>
    <s v="Dharamsala"/>
    <x v="118"/>
    <x v="0"/>
    <x v="0"/>
    <x v="0"/>
  </r>
  <r>
    <x v="130"/>
    <x v="10"/>
    <x v="85"/>
    <n v="206"/>
    <n v="15"/>
    <n v="1"/>
    <x v="106"/>
    <n v="5"/>
    <s v="caught"/>
    <n v="2"/>
    <x v="3"/>
    <s v="Chennai"/>
    <x v="119"/>
    <x v="2"/>
    <x v="1"/>
    <x v="0"/>
  </r>
  <r>
    <x v="131"/>
    <x v="29"/>
    <x v="31"/>
    <n v="8"/>
    <n v="0"/>
    <n v="0"/>
    <x v="107"/>
    <n v="3"/>
    <s v="lbw"/>
    <n v="2"/>
    <x v="3"/>
    <s v="Delhi"/>
    <x v="120"/>
    <x v="2"/>
    <x v="0"/>
    <x v="0"/>
  </r>
  <r>
    <x v="132"/>
    <x v="70"/>
    <x v="86"/>
    <n v="60"/>
    <n v="4"/>
    <n v="0"/>
    <x v="108"/>
    <n v="3"/>
    <s v="lbw"/>
    <n v="4"/>
    <x v="3"/>
    <s v="Delhi"/>
    <x v="120"/>
    <x v="2"/>
    <x v="0"/>
    <x v="0"/>
  </r>
  <r>
    <x v="133"/>
    <x v="3"/>
    <x v="87"/>
    <n v="41"/>
    <n v="2"/>
    <n v="0"/>
    <x v="109"/>
    <n v="3"/>
    <s v="caught"/>
    <n v="1"/>
    <x v="5"/>
    <s v="Cardiff"/>
    <x v="121"/>
    <x v="0"/>
    <x v="0"/>
    <x v="0"/>
  </r>
  <r>
    <x v="134"/>
    <x v="25"/>
    <x v="47"/>
    <n v="18"/>
    <n v="4"/>
    <n v="0"/>
    <x v="110"/>
    <n v="3"/>
    <s v="bowled"/>
    <n v="2"/>
    <x v="2"/>
    <s v="The Oval"/>
    <x v="122"/>
    <x v="0"/>
    <x v="0"/>
    <x v="0"/>
  </r>
  <r>
    <x v="135"/>
    <x v="25"/>
    <x v="65"/>
    <n v="27"/>
    <n v="3"/>
    <n v="0"/>
    <x v="111"/>
    <n v="3"/>
    <s v="not out"/>
    <n v="2"/>
    <x v="1"/>
    <s v="Birmingham"/>
    <x v="123"/>
    <x v="0"/>
    <x v="0"/>
    <x v="0"/>
  </r>
  <r>
    <x v="136"/>
    <x v="61"/>
    <x v="71"/>
    <n v="64"/>
    <n v="4"/>
    <n v="1"/>
    <x v="112"/>
    <n v="3"/>
    <s v="not out"/>
    <n v="2"/>
    <x v="0"/>
    <s v="Cardiff"/>
    <x v="124"/>
    <x v="0"/>
    <x v="0"/>
    <x v="1"/>
  </r>
  <r>
    <x v="137"/>
    <x v="71"/>
    <x v="88"/>
    <n v="34"/>
    <n v="4"/>
    <n v="1"/>
    <x v="113"/>
    <n v="3"/>
    <s v="caught"/>
    <n v="1"/>
    <x v="8"/>
    <s v="Birmingham"/>
    <x v="125"/>
    <x v="0"/>
    <x v="0"/>
    <x v="0"/>
  </r>
  <r>
    <x v="138"/>
    <x v="19"/>
    <x v="11"/>
    <n v="21"/>
    <n v="0"/>
    <n v="1"/>
    <x v="61"/>
    <n v="3"/>
    <s v="caught"/>
    <n v="1"/>
    <x v="2"/>
    <s v="Kingston"/>
    <x v="126"/>
    <x v="0"/>
    <x v="0"/>
    <x v="0"/>
  </r>
  <r>
    <x v="139"/>
    <x v="4"/>
    <x v="4"/>
    <n v="5"/>
    <n v="0"/>
    <n v="0"/>
    <x v="43"/>
    <n v="4"/>
    <s v="caught"/>
    <n v="2"/>
    <x v="0"/>
    <s v="Kingston"/>
    <x v="127"/>
    <x v="0"/>
    <x v="0"/>
    <x v="0"/>
  </r>
  <r>
    <x v="140"/>
    <x v="13"/>
    <x v="89"/>
    <n v="83"/>
    <n v="13"/>
    <n v="2"/>
    <x v="114"/>
    <n v="3"/>
    <s v="caught"/>
    <n v="1"/>
    <x v="2"/>
    <s v="Port of Spain"/>
    <x v="128"/>
    <x v="0"/>
    <x v="1"/>
    <x v="0"/>
  </r>
  <r>
    <x v="141"/>
    <x v="3"/>
    <x v="44"/>
    <n v="52"/>
    <n v="4"/>
    <n v="0"/>
    <x v="115"/>
    <n v="3"/>
    <s v="lbw"/>
    <n v="1"/>
    <x v="0"/>
    <s v="Port of Spain"/>
    <x v="129"/>
    <x v="0"/>
    <x v="0"/>
    <x v="0"/>
  </r>
  <r>
    <x v="142"/>
    <x v="4"/>
    <x v="90"/>
    <n v="5"/>
    <n v="0"/>
    <n v="0"/>
    <x v="43"/>
    <n v="3"/>
    <s v="caught"/>
    <n v="2"/>
    <x v="0"/>
    <s v="Port of Spain"/>
    <x v="130"/>
    <x v="0"/>
    <x v="0"/>
    <x v="0"/>
  </r>
  <r>
    <x v="143"/>
    <x v="72"/>
    <x v="66"/>
    <n v="108"/>
    <n v="13"/>
    <n v="1"/>
    <x v="116"/>
    <n v="3"/>
    <s v="caught"/>
    <n v="2"/>
    <x v="6"/>
    <s v="Harare"/>
    <x v="131"/>
    <x v="0"/>
    <x v="1"/>
    <x v="0"/>
  </r>
  <r>
    <x v="144"/>
    <x v="33"/>
    <x v="19"/>
    <n v="18"/>
    <n v="2"/>
    <n v="0"/>
    <x v="75"/>
    <n v="3"/>
    <s v="caught"/>
    <n v="1"/>
    <x v="6"/>
    <s v="Harare"/>
    <x v="132"/>
    <x v="0"/>
    <x v="0"/>
    <x v="0"/>
  </r>
  <r>
    <x v="145"/>
    <x v="17"/>
    <x v="13"/>
    <n v="88"/>
    <n v="5"/>
    <n v="1"/>
    <x v="117"/>
    <n v="3"/>
    <s v="not out"/>
    <n v="2"/>
    <x v="6"/>
    <s v="Harare"/>
    <x v="133"/>
    <x v="0"/>
    <x v="0"/>
    <x v="1"/>
  </r>
  <r>
    <x v="146"/>
    <x v="73"/>
    <x v="91"/>
    <n v="22"/>
    <n v="2"/>
    <n v="1"/>
    <x v="118"/>
    <n v="4"/>
    <s v="caught"/>
    <n v="2"/>
    <x v="3"/>
    <s v="Rajkot"/>
    <x v="134"/>
    <x v="1"/>
    <x v="0"/>
    <x v="0"/>
  </r>
  <r>
    <x v="147"/>
    <x v="74"/>
    <x v="6"/>
    <n v="85"/>
    <n v="6"/>
    <n v="0"/>
    <x v="119"/>
    <n v="3"/>
    <s v="lbw"/>
    <n v="2"/>
    <x v="3"/>
    <s v="Pune"/>
    <x v="135"/>
    <x v="0"/>
    <x v="0"/>
    <x v="1"/>
  </r>
  <r>
    <x v="148"/>
    <x v="26"/>
    <x v="1"/>
    <n v="52"/>
    <n v="8"/>
    <n v="7"/>
    <x v="120"/>
    <n v="3"/>
    <s v="not out"/>
    <n v="2"/>
    <x v="3"/>
    <s v="Jaipur"/>
    <x v="136"/>
    <x v="0"/>
    <x v="0"/>
    <x v="0"/>
  </r>
  <r>
    <x v="149"/>
    <x v="17"/>
    <x v="6"/>
    <n v="73"/>
    <n v="9"/>
    <n v="0"/>
    <x v="121"/>
    <n v="3"/>
    <s v="caught"/>
    <n v="1"/>
    <x v="3"/>
    <s v="Mohali"/>
    <x v="137"/>
    <x v="0"/>
    <x v="0"/>
    <x v="1"/>
  </r>
  <r>
    <x v="150"/>
    <x v="72"/>
    <x v="92"/>
    <n v="66"/>
    <n v="18"/>
    <n v="1"/>
    <x v="122"/>
    <n v="3"/>
    <s v="not out"/>
    <n v="2"/>
    <x v="3"/>
    <s v="Nagpur"/>
    <x v="138"/>
    <x v="0"/>
    <x v="1"/>
    <x v="0"/>
  </r>
  <r>
    <x v="151"/>
    <x v="15"/>
    <x v="93"/>
    <n v="3"/>
    <n v="0"/>
    <n v="0"/>
    <x v="23"/>
    <n v="3"/>
    <s v="run out"/>
    <n v="1"/>
    <x v="3"/>
    <s v="Bengaluru"/>
    <x v="139"/>
    <x v="0"/>
    <x v="0"/>
    <x v="0"/>
  </r>
  <r>
    <x v="152"/>
    <x v="43"/>
    <x v="20"/>
    <n v="5"/>
    <n v="0"/>
    <n v="0"/>
    <x v="36"/>
    <n v="5"/>
    <s v="caught"/>
    <n v="2"/>
    <x v="2"/>
    <s v="Eden Gardens"/>
    <x v="140"/>
    <x v="2"/>
    <x v="0"/>
    <x v="0"/>
  </r>
  <r>
    <x v="153"/>
    <x v="14"/>
    <x v="71"/>
    <n v="78"/>
    <n v="5"/>
    <n v="0"/>
    <x v="123"/>
    <n v="5"/>
    <s v="caught"/>
    <n v="2"/>
    <x v="2"/>
    <s v="Wankhede"/>
    <x v="141"/>
    <x v="2"/>
    <x v="0"/>
    <x v="1"/>
  </r>
  <r>
    <x v="154"/>
    <x v="41"/>
    <x v="89"/>
    <n v="84"/>
    <n v="9"/>
    <n v="2"/>
    <x v="124"/>
    <n v="3"/>
    <s v="caught"/>
    <n v="2"/>
    <x v="2"/>
    <s v="Kochi"/>
    <x v="142"/>
    <x v="0"/>
    <x v="0"/>
    <x v="1"/>
  </r>
  <r>
    <x v="155"/>
    <x v="75"/>
    <x v="94"/>
    <n v="100"/>
    <n v="9"/>
    <n v="0"/>
    <x v="125"/>
    <n v="3"/>
    <s v="caught"/>
    <n v="1"/>
    <x v="2"/>
    <s v="Visakhapatnam"/>
    <x v="143"/>
    <x v="0"/>
    <x v="0"/>
    <x v="1"/>
  </r>
  <r>
    <x v="156"/>
    <x v="68"/>
    <x v="11"/>
    <n v="18"/>
    <n v="3"/>
    <n v="0"/>
    <x v="126"/>
    <n v="3"/>
    <s v="caught"/>
    <n v="2"/>
    <x v="2"/>
    <s v="Kanpur"/>
    <x v="144"/>
    <x v="0"/>
    <x v="0"/>
    <x v="0"/>
  </r>
  <r>
    <x v="157"/>
    <x v="3"/>
    <x v="62"/>
    <n v="35"/>
    <n v="5"/>
    <n v="0"/>
    <x v="127"/>
    <n v="3"/>
    <s v="caught"/>
    <n v="2"/>
    <x v="5"/>
    <s v="Johannesburg"/>
    <x v="145"/>
    <x v="0"/>
    <x v="0"/>
    <x v="0"/>
  </r>
  <r>
    <x v="158"/>
    <x v="15"/>
    <x v="95"/>
    <n v="5"/>
    <n v="0"/>
    <n v="0"/>
    <x v="23"/>
    <n v="3"/>
    <s v="caught"/>
    <n v="2"/>
    <x v="5"/>
    <s v="Durban"/>
    <x v="146"/>
    <x v="0"/>
    <x v="0"/>
    <x v="0"/>
  </r>
  <r>
    <x v="159"/>
    <x v="76"/>
    <x v="96"/>
    <n v="181"/>
    <n v="18"/>
    <n v="0"/>
    <x v="128"/>
    <n v="4"/>
    <s v="caught"/>
    <n v="1"/>
    <x v="5"/>
    <s v="Johannesburg"/>
    <x v="147"/>
    <x v="2"/>
    <x v="1"/>
    <x v="0"/>
  </r>
  <r>
    <x v="160"/>
    <x v="77"/>
    <x v="97"/>
    <n v="193"/>
    <n v="9"/>
    <n v="0"/>
    <x v="129"/>
    <n v="4"/>
    <s v="caught"/>
    <n v="3"/>
    <x v="5"/>
    <s v="Johannesburg"/>
    <x v="147"/>
    <x v="2"/>
    <x v="0"/>
    <x v="1"/>
  </r>
  <r>
    <x v="161"/>
    <x v="78"/>
    <x v="98"/>
    <n v="87"/>
    <n v="5"/>
    <n v="0"/>
    <x v="130"/>
    <n v="4"/>
    <s v="caught"/>
    <n v="1"/>
    <x v="5"/>
    <s v="Durban"/>
    <x v="148"/>
    <x v="2"/>
    <x v="0"/>
    <x v="0"/>
  </r>
  <r>
    <x v="162"/>
    <x v="19"/>
    <x v="91"/>
    <n v="27"/>
    <n v="1"/>
    <n v="0"/>
    <x v="131"/>
    <n v="4"/>
    <s v="caught"/>
    <n v="3"/>
    <x v="5"/>
    <s v="Durban"/>
    <x v="148"/>
    <x v="2"/>
    <x v="0"/>
    <x v="0"/>
  </r>
  <r>
    <x v="163"/>
    <x v="79"/>
    <x v="99"/>
    <n v="111"/>
    <n v="11"/>
    <n v="2"/>
    <x v="132"/>
    <n v="3"/>
    <s v="caught"/>
    <n v="2"/>
    <x v="7"/>
    <s v="Napier"/>
    <x v="149"/>
    <x v="0"/>
    <x v="1"/>
    <x v="0"/>
  </r>
  <r>
    <x v="164"/>
    <x v="4"/>
    <x v="100"/>
    <n v="10"/>
    <n v="0"/>
    <n v="0"/>
    <x v="80"/>
    <n v="2"/>
    <s v="caught"/>
    <n v="1"/>
    <x v="7"/>
    <s v="Hamilton"/>
    <x v="150"/>
    <x v="0"/>
    <x v="0"/>
    <x v="0"/>
  </r>
  <r>
    <x v="165"/>
    <x v="16"/>
    <x v="101"/>
    <n v="78"/>
    <n v="7"/>
    <n v="3"/>
    <x v="133"/>
    <n v="3"/>
    <s v="caught"/>
    <n v="2"/>
    <x v="7"/>
    <s v="Wellington"/>
    <x v="151"/>
    <x v="0"/>
    <x v="0"/>
    <x v="1"/>
  </r>
  <r>
    <x v="166"/>
    <x v="36"/>
    <x v="80"/>
    <n v="13"/>
    <n v="1"/>
    <n v="0"/>
    <x v="134"/>
    <n v="4"/>
    <s v="caught"/>
    <n v="2"/>
    <x v="7"/>
    <s v="Auckland"/>
    <x v="152"/>
    <x v="2"/>
    <x v="0"/>
    <x v="0"/>
  </r>
  <r>
    <x v="167"/>
    <x v="80"/>
    <x v="102"/>
    <n v="102"/>
    <n v="12"/>
    <n v="0"/>
    <x v="135"/>
    <n v="4"/>
    <s v="caught"/>
    <n v="4"/>
    <x v="7"/>
    <s v="Auckland"/>
    <x v="152"/>
    <x v="2"/>
    <x v="0"/>
    <x v="1"/>
  </r>
  <r>
    <x v="168"/>
    <x v="59"/>
    <x v="102"/>
    <n v="93"/>
    <n v="4"/>
    <n v="0"/>
    <x v="136"/>
    <n v="5"/>
    <s v="caught"/>
    <n v="2"/>
    <x v="7"/>
    <s v="Wellington"/>
    <x v="153"/>
    <x v="2"/>
    <x v="0"/>
    <x v="0"/>
  </r>
  <r>
    <x v="169"/>
    <x v="22"/>
    <x v="103"/>
    <n v="135"/>
    <n v="15"/>
    <n v="1"/>
    <x v="75"/>
    <n v="4"/>
    <s v="not out"/>
    <n v="4"/>
    <x v="7"/>
    <s v="Wellington"/>
    <x v="153"/>
    <x v="2"/>
    <x v="1"/>
    <x v="0"/>
  </r>
  <r>
    <x v="170"/>
    <x v="81"/>
    <x v="104"/>
    <n v="122"/>
    <n v="16"/>
    <n v="2"/>
    <x v="137"/>
    <n v="3"/>
    <s v="bowled"/>
    <n v="2"/>
    <x v="4"/>
    <s v="Fatullah"/>
    <x v="154"/>
    <x v="0"/>
    <x v="1"/>
    <x v="0"/>
  </r>
  <r>
    <x v="171"/>
    <x v="82"/>
    <x v="60"/>
    <n v="11"/>
    <n v="0"/>
    <n v="0"/>
    <x v="138"/>
    <n v="3"/>
    <s v="caught"/>
    <n v="1"/>
    <x v="1"/>
    <s v="Mirpur"/>
    <x v="155"/>
    <x v="0"/>
    <x v="0"/>
    <x v="0"/>
  </r>
  <r>
    <x v="172"/>
    <x v="83"/>
    <x v="3"/>
    <n v="32"/>
    <n v="4"/>
    <n v="1"/>
    <x v="139"/>
    <n v="3"/>
    <s v="not out"/>
    <n v="2"/>
    <x v="1"/>
    <s v="Mirpur"/>
    <x v="156"/>
    <x v="1"/>
    <x v="0"/>
    <x v="0"/>
  </r>
  <r>
    <x v="173"/>
    <x v="24"/>
    <x v="30"/>
    <n v="41"/>
    <n v="5"/>
    <n v="1"/>
    <x v="140"/>
    <n v="3"/>
    <s v="bowled"/>
    <n v="2"/>
    <x v="2"/>
    <s v="Mirpur"/>
    <x v="157"/>
    <x v="1"/>
    <x v="0"/>
    <x v="1"/>
  </r>
  <r>
    <x v="174"/>
    <x v="14"/>
    <x v="88"/>
    <n v="50"/>
    <n v="3"/>
    <n v="1"/>
    <x v="141"/>
    <n v="3"/>
    <s v="not out"/>
    <n v="2"/>
    <x v="4"/>
    <s v="Mirpur"/>
    <x v="158"/>
    <x v="1"/>
    <x v="0"/>
    <x v="1"/>
  </r>
  <r>
    <x v="175"/>
    <x v="46"/>
    <x v="105"/>
    <n v="22"/>
    <n v="2"/>
    <n v="1"/>
    <x v="142"/>
    <n v="3"/>
    <s v="caught"/>
    <n v="1"/>
    <x v="3"/>
    <s v="Mirpur"/>
    <x v="159"/>
    <x v="1"/>
    <x v="0"/>
    <x v="0"/>
  </r>
  <r>
    <x v="176"/>
    <x v="84"/>
    <x v="77"/>
    <n v="44"/>
    <n v="5"/>
    <n v="2"/>
    <x v="143"/>
    <n v="3"/>
    <s v="not out"/>
    <n v="2"/>
    <x v="5"/>
    <s v="Mirpur"/>
    <x v="160"/>
    <x v="1"/>
    <x v="0"/>
    <x v="1"/>
  </r>
  <r>
    <x v="177"/>
    <x v="51"/>
    <x v="106"/>
    <n v="58"/>
    <n v="5"/>
    <n v="4"/>
    <x v="144"/>
    <n v="3"/>
    <s v="run out"/>
    <n v="1"/>
    <x v="0"/>
    <s v="Mirpur"/>
    <x v="161"/>
    <x v="1"/>
    <x v="0"/>
    <x v="1"/>
  </r>
  <r>
    <x v="178"/>
    <x v="29"/>
    <x v="4"/>
    <n v="8"/>
    <n v="0"/>
    <n v="0"/>
    <x v="107"/>
    <n v="4"/>
    <s v="caught"/>
    <n v="1"/>
    <x v="8"/>
    <s v="Nottingham"/>
    <x v="162"/>
    <x v="2"/>
    <x v="0"/>
    <x v="0"/>
  </r>
  <r>
    <x v="179"/>
    <x v="27"/>
    <x v="107"/>
    <n v="29"/>
    <n v="1"/>
    <n v="0"/>
    <x v="145"/>
    <n v="4"/>
    <s v="lbw"/>
    <n v="3"/>
    <x v="8"/>
    <s v="Nottingham"/>
    <x v="162"/>
    <x v="2"/>
    <x v="0"/>
    <x v="0"/>
  </r>
  <r>
    <x v="180"/>
    <x v="2"/>
    <x v="107"/>
    <n v="34"/>
    <n v="4"/>
    <n v="0"/>
    <x v="146"/>
    <n v="4"/>
    <s v="caught"/>
    <n v="1"/>
    <x v="8"/>
    <s v="Lord's"/>
    <x v="163"/>
    <x v="2"/>
    <x v="0"/>
    <x v="0"/>
  </r>
  <r>
    <x v="181"/>
    <x v="15"/>
    <x v="40"/>
    <n v="1"/>
    <n v="0"/>
    <n v="0"/>
    <x v="23"/>
    <n v="4"/>
    <s v="bowled"/>
    <n v="3"/>
    <x v="8"/>
    <s v="Lord's"/>
    <x v="163"/>
    <x v="2"/>
    <x v="0"/>
    <x v="0"/>
  </r>
  <r>
    <x v="182"/>
    <x v="85"/>
    <x v="108"/>
    <n v="75"/>
    <n v="3"/>
    <n v="0"/>
    <x v="147"/>
    <n v="4"/>
    <s v="caught"/>
    <n v="2"/>
    <x v="8"/>
    <s v="Southampton"/>
    <x v="164"/>
    <x v="2"/>
    <x v="0"/>
    <x v="0"/>
  </r>
  <r>
    <x v="183"/>
    <x v="20"/>
    <x v="109"/>
    <n v="56"/>
    <n v="3"/>
    <n v="0"/>
    <x v="20"/>
    <n v="4"/>
    <s v="caught"/>
    <n v="4"/>
    <x v="8"/>
    <s v="Southampton"/>
    <x v="164"/>
    <x v="2"/>
    <x v="0"/>
    <x v="0"/>
  </r>
  <r>
    <x v="184"/>
    <x v="15"/>
    <x v="16"/>
    <n v="2"/>
    <n v="0"/>
    <n v="0"/>
    <x v="23"/>
    <n v="4"/>
    <s v="caught"/>
    <n v="1"/>
    <x v="8"/>
    <s v="Manchester"/>
    <x v="165"/>
    <x v="2"/>
    <x v="0"/>
    <x v="0"/>
  </r>
  <r>
    <x v="185"/>
    <x v="39"/>
    <x v="38"/>
    <n v="11"/>
    <n v="1"/>
    <n v="0"/>
    <x v="148"/>
    <n v="4"/>
    <s v="caught"/>
    <n v="3"/>
    <x v="8"/>
    <s v="Manchester"/>
    <x v="165"/>
    <x v="2"/>
    <x v="0"/>
    <x v="0"/>
  </r>
  <r>
    <x v="186"/>
    <x v="69"/>
    <x v="110"/>
    <n v="18"/>
    <n v="1"/>
    <n v="0"/>
    <x v="32"/>
    <n v="4"/>
    <s v="lbw"/>
    <n v="1"/>
    <x v="8"/>
    <s v="The Oval"/>
    <x v="166"/>
    <x v="2"/>
    <x v="0"/>
    <x v="0"/>
  </r>
  <r>
    <x v="187"/>
    <x v="45"/>
    <x v="71"/>
    <n v="54"/>
    <n v="2"/>
    <n v="0"/>
    <x v="149"/>
    <n v="4"/>
    <s v="caught"/>
    <n v="3"/>
    <x v="8"/>
    <s v="The Oval"/>
    <x v="166"/>
    <x v="2"/>
    <x v="0"/>
    <x v="0"/>
  </r>
  <r>
    <x v="188"/>
    <x v="15"/>
    <x v="40"/>
    <n v="3"/>
    <n v="0"/>
    <n v="0"/>
    <x v="23"/>
    <n v="3"/>
    <s v="caught"/>
    <n v="1"/>
    <x v="8"/>
    <s v="Cardiff"/>
    <x v="167"/>
    <x v="0"/>
    <x v="0"/>
    <x v="0"/>
  </r>
  <r>
    <x v="189"/>
    <x v="66"/>
    <x v="77"/>
    <n v="50"/>
    <n v="2"/>
    <n v="1"/>
    <x v="47"/>
    <n v="3"/>
    <s v="caught"/>
    <n v="2"/>
    <x v="8"/>
    <s v="Nottingham"/>
    <x v="168"/>
    <x v="0"/>
    <x v="0"/>
    <x v="0"/>
  </r>
  <r>
    <x v="190"/>
    <x v="29"/>
    <x v="46"/>
    <n v="3"/>
    <n v="0"/>
    <n v="0"/>
    <x v="32"/>
    <n v="3"/>
    <s v="not out"/>
    <n v="2"/>
    <x v="8"/>
    <s v="Birmingham"/>
    <x v="169"/>
    <x v="0"/>
    <x v="0"/>
    <x v="0"/>
  </r>
  <r>
    <x v="191"/>
    <x v="86"/>
    <x v="15"/>
    <n v="21"/>
    <n v="2"/>
    <n v="0"/>
    <x v="150"/>
    <n v="3"/>
    <s v="caught"/>
    <n v="2"/>
    <x v="8"/>
    <s v="Leeds"/>
    <x v="170"/>
    <x v="0"/>
    <x v="0"/>
    <x v="0"/>
  </r>
  <r>
    <x v="192"/>
    <x v="53"/>
    <x v="111"/>
    <n v="41"/>
    <n v="9"/>
    <n v="1"/>
    <x v="151"/>
    <n v="3"/>
    <s v="caught"/>
    <n v="2"/>
    <x v="8"/>
    <s v="Birmingham"/>
    <x v="171"/>
    <x v="1"/>
    <x v="0"/>
    <x v="1"/>
  </r>
  <r>
    <x v="193"/>
    <x v="4"/>
    <x v="95"/>
    <n v="5"/>
    <n v="0"/>
    <n v="0"/>
    <x v="43"/>
    <n v="3"/>
    <s v="caught"/>
    <n v="2"/>
    <x v="2"/>
    <s v="Kochi"/>
    <x v="172"/>
    <x v="0"/>
    <x v="0"/>
    <x v="0"/>
  </r>
  <r>
    <x v="194"/>
    <x v="87"/>
    <x v="112"/>
    <n v="78"/>
    <n v="5"/>
    <n v="0"/>
    <x v="152"/>
    <n v="4"/>
    <s v="caught"/>
    <n v="1"/>
    <x v="2"/>
    <s v="Delhi"/>
    <x v="173"/>
    <x v="0"/>
    <x v="0"/>
    <x v="1"/>
  </r>
  <r>
    <x v="195"/>
    <x v="25"/>
    <x v="110"/>
    <n v="21"/>
    <n v="2"/>
    <n v="0"/>
    <x v="68"/>
    <n v="4"/>
    <s v="caught"/>
    <n v="1"/>
    <x v="0"/>
    <s v="Cuttack"/>
    <x v="174"/>
    <x v="0"/>
    <x v="0"/>
    <x v="0"/>
  </r>
  <r>
    <x v="196"/>
    <x v="53"/>
    <x v="113"/>
    <n v="64"/>
    <n v="6"/>
    <n v="0"/>
    <x v="153"/>
    <n v="4"/>
    <s v="run out"/>
    <n v="1"/>
    <x v="0"/>
    <s v="Eden Gardens"/>
    <x v="175"/>
    <x v="0"/>
    <x v="0"/>
    <x v="1"/>
  </r>
  <r>
    <x v="197"/>
    <x v="88"/>
    <x v="114"/>
    <n v="126"/>
    <n v="12"/>
    <n v="3"/>
    <x v="154"/>
    <n v="4"/>
    <s v="not out"/>
    <n v="2"/>
    <x v="0"/>
    <s v="Ranchi"/>
    <x v="176"/>
    <x v="0"/>
    <x v="1"/>
    <x v="0"/>
  </r>
  <r>
    <x v="198"/>
    <x v="72"/>
    <x v="115"/>
    <n v="184"/>
    <n v="12"/>
    <n v="0"/>
    <x v="8"/>
    <n v="4"/>
    <s v="caught"/>
    <n v="2"/>
    <x v="3"/>
    <s v="Adelaide"/>
    <x v="177"/>
    <x v="2"/>
    <x v="1"/>
    <x v="0"/>
  </r>
  <r>
    <x v="199"/>
    <x v="89"/>
    <x v="116"/>
    <n v="175"/>
    <n v="16"/>
    <n v="1"/>
    <x v="155"/>
    <n v="4"/>
    <s v="caught"/>
    <n v="4"/>
    <x v="3"/>
    <s v="Adelaide"/>
    <x v="177"/>
    <x v="2"/>
    <x v="1"/>
    <x v="0"/>
  </r>
  <r>
    <x v="200"/>
    <x v="68"/>
    <x v="52"/>
    <n v="27"/>
    <n v="1"/>
    <n v="0"/>
    <x v="156"/>
    <n v="4"/>
    <s v="caught"/>
    <n v="1"/>
    <x v="3"/>
    <s v="Brisbane"/>
    <x v="178"/>
    <x v="2"/>
    <x v="0"/>
    <x v="0"/>
  </r>
  <r>
    <x v="201"/>
    <x v="29"/>
    <x v="100"/>
    <n v="11"/>
    <n v="0"/>
    <n v="0"/>
    <x v="157"/>
    <n v="4"/>
    <s v="bowled"/>
    <n v="3"/>
    <x v="3"/>
    <s v="Brisbane"/>
    <x v="178"/>
    <x v="2"/>
    <x v="0"/>
    <x v="0"/>
  </r>
  <r>
    <x v="202"/>
    <x v="90"/>
    <x v="117"/>
    <n v="272"/>
    <n v="18"/>
    <n v="0"/>
    <x v="158"/>
    <n v="4"/>
    <s v="caught"/>
    <n v="2"/>
    <x v="3"/>
    <s v="Melbourne"/>
    <x v="179"/>
    <x v="2"/>
    <x v="1"/>
    <x v="0"/>
  </r>
  <r>
    <x v="203"/>
    <x v="24"/>
    <x v="50"/>
    <n v="99"/>
    <n v="7"/>
    <n v="0"/>
    <x v="0"/>
    <n v="4"/>
    <s v="caught"/>
    <n v="4"/>
    <x v="3"/>
    <s v="Melbourne"/>
    <x v="179"/>
    <x v="2"/>
    <x v="0"/>
    <x v="1"/>
  </r>
  <r>
    <x v="204"/>
    <x v="91"/>
    <x v="118"/>
    <n v="230"/>
    <n v="20"/>
    <n v="0"/>
    <x v="159"/>
    <n v="4"/>
    <s v="caught"/>
    <n v="2"/>
    <x v="3"/>
    <s v="Sydney"/>
    <x v="180"/>
    <x v="2"/>
    <x v="1"/>
    <x v="0"/>
  </r>
  <r>
    <x v="205"/>
    <x v="78"/>
    <x v="18"/>
    <n v="95"/>
    <n v="3"/>
    <n v="0"/>
    <x v="160"/>
    <n v="4"/>
    <s v="caught"/>
    <n v="4"/>
    <x v="3"/>
    <s v="Sydney"/>
    <x v="180"/>
    <x v="2"/>
    <x v="0"/>
    <x v="0"/>
  </r>
  <r>
    <x v="206"/>
    <x v="11"/>
    <x v="119"/>
    <n v="16"/>
    <n v="0"/>
    <n v="0"/>
    <x v="161"/>
    <n v="4"/>
    <s v="caught"/>
    <n v="1"/>
    <x v="3"/>
    <s v="Melbourne"/>
    <x v="181"/>
    <x v="0"/>
    <x v="0"/>
    <x v="0"/>
  </r>
  <r>
    <x v="207"/>
    <x v="43"/>
    <x v="90"/>
    <n v="9"/>
    <n v="0"/>
    <n v="0"/>
    <x v="32"/>
    <n v="4"/>
    <s v="not out"/>
    <n v="1"/>
    <x v="3"/>
    <s v="Sydney"/>
    <x v="182"/>
    <x v="0"/>
    <x v="0"/>
    <x v="0"/>
  </r>
  <r>
    <x v="208"/>
    <x v="10"/>
    <x v="120"/>
    <n v="126"/>
    <n v="8"/>
    <n v="0"/>
    <x v="162"/>
    <n v="3"/>
    <s v="caught"/>
    <n v="1"/>
    <x v="1"/>
    <s v="Adelaide"/>
    <x v="183"/>
    <x v="0"/>
    <x v="1"/>
    <x v="0"/>
  </r>
  <r>
    <x v="209"/>
    <x v="78"/>
    <x v="121"/>
    <n v="60"/>
    <n v="3"/>
    <n v="0"/>
    <x v="163"/>
    <n v="3"/>
    <s v="caught"/>
    <n v="1"/>
    <x v="5"/>
    <s v="Melbourne"/>
    <x v="184"/>
    <x v="0"/>
    <x v="0"/>
    <x v="0"/>
  </r>
  <r>
    <x v="210"/>
    <x v="92"/>
    <x v="122"/>
    <n v="41"/>
    <n v="5"/>
    <n v="0"/>
    <x v="77"/>
    <n v="3"/>
    <s v="not out"/>
    <n v="2"/>
    <x v="12"/>
    <s v="W.A.C.A"/>
    <x v="185"/>
    <x v="0"/>
    <x v="0"/>
    <x v="0"/>
  </r>
  <r>
    <x v="211"/>
    <x v="92"/>
    <x v="30"/>
    <n v="36"/>
    <n v="5"/>
    <n v="0"/>
    <x v="164"/>
    <n v="3"/>
    <s v="caught"/>
    <n v="2"/>
    <x v="2"/>
    <s v="W.A.C.A"/>
    <x v="186"/>
    <x v="0"/>
    <x v="0"/>
    <x v="0"/>
  </r>
  <r>
    <x v="212"/>
    <x v="48"/>
    <x v="123"/>
    <n v="42"/>
    <n v="4"/>
    <n v="1"/>
    <x v="68"/>
    <n v="3"/>
    <s v="not out"/>
    <n v="2"/>
    <x v="9"/>
    <s v="Hamilton"/>
    <x v="187"/>
    <x v="0"/>
    <x v="0"/>
    <x v="0"/>
  </r>
  <r>
    <x v="213"/>
    <x v="59"/>
    <x v="124"/>
    <n v="48"/>
    <n v="4"/>
    <n v="0"/>
    <x v="165"/>
    <n v="3"/>
    <s v="bowled"/>
    <n v="2"/>
    <x v="6"/>
    <s v="Auckland"/>
    <x v="188"/>
    <x v="0"/>
    <x v="0"/>
    <x v="0"/>
  </r>
  <r>
    <x v="214"/>
    <x v="29"/>
    <x v="31"/>
    <n v="13"/>
    <n v="0"/>
    <n v="0"/>
    <x v="166"/>
    <n v="3"/>
    <s v="caught"/>
    <n v="2"/>
    <x v="3"/>
    <s v="Sydney"/>
    <x v="189"/>
    <x v="0"/>
    <x v="0"/>
    <x v="0"/>
  </r>
  <r>
    <x v="215"/>
    <x v="33"/>
    <x v="80"/>
    <n v="22"/>
    <n v="2"/>
    <n v="0"/>
    <x v="148"/>
    <n v="4"/>
    <s v="bowled"/>
    <n v="1"/>
    <x v="4"/>
    <s v="Fatullah"/>
    <x v="190"/>
    <x v="2"/>
    <x v="0"/>
    <x v="0"/>
  </r>
  <r>
    <x v="216"/>
    <x v="29"/>
    <x v="46"/>
    <n v="4"/>
    <n v="0"/>
    <n v="0"/>
    <x v="14"/>
    <n v="3"/>
    <s v="caught"/>
    <n v="2"/>
    <x v="4"/>
    <s v="Mirpur"/>
    <x v="191"/>
    <x v="0"/>
    <x v="0"/>
    <x v="0"/>
  </r>
  <r>
    <x v="217"/>
    <x v="46"/>
    <x v="21"/>
    <n v="27"/>
    <n v="3"/>
    <n v="1"/>
    <x v="167"/>
    <n v="3"/>
    <s v="lbw"/>
    <n v="1"/>
    <x v="4"/>
    <s v="Mirpur"/>
    <x v="192"/>
    <x v="0"/>
    <x v="0"/>
    <x v="0"/>
  </r>
  <r>
    <x v="218"/>
    <x v="2"/>
    <x v="125"/>
    <n v="35"/>
    <n v="1"/>
    <n v="0"/>
    <x v="21"/>
    <n v="3"/>
    <s v="bowled"/>
    <n v="1"/>
    <x v="4"/>
    <s v="Mirpur"/>
    <x v="193"/>
    <x v="0"/>
    <x v="0"/>
    <x v="0"/>
  </r>
  <r>
    <x v="219"/>
    <x v="62"/>
    <x v="85"/>
    <n v="191"/>
    <n v="11"/>
    <n v="0"/>
    <x v="168"/>
    <n v="4"/>
    <s v="lbw"/>
    <n v="2"/>
    <x v="0"/>
    <s v="Galle"/>
    <x v="194"/>
    <x v="2"/>
    <x v="1"/>
    <x v="0"/>
  </r>
  <r>
    <x v="220"/>
    <x v="43"/>
    <x v="100"/>
    <n v="10"/>
    <n v="0"/>
    <n v="0"/>
    <x v="169"/>
    <n v="5"/>
    <s v="caught"/>
    <n v="4"/>
    <x v="0"/>
    <s v="Galle"/>
    <x v="194"/>
    <x v="2"/>
    <x v="0"/>
    <x v="0"/>
  </r>
  <r>
    <x v="221"/>
    <x v="67"/>
    <x v="126"/>
    <n v="107"/>
    <n v="8"/>
    <n v="1"/>
    <x v="170"/>
    <n v="4"/>
    <s v="caught"/>
    <n v="1"/>
    <x v="0"/>
    <s v="Colombo (PSS)"/>
    <x v="195"/>
    <x v="2"/>
    <x v="0"/>
    <x v="1"/>
  </r>
  <r>
    <x v="222"/>
    <x v="8"/>
    <x v="0"/>
    <n v="19"/>
    <n v="0"/>
    <n v="0"/>
    <x v="171"/>
    <n v="4"/>
    <s v="lbw"/>
    <n v="3"/>
    <x v="0"/>
    <s v="Colombo (PSS)"/>
    <x v="195"/>
    <x v="2"/>
    <x v="0"/>
    <x v="0"/>
  </r>
  <r>
    <x v="223"/>
    <x v="52"/>
    <x v="59"/>
    <n v="60"/>
    <n v="3"/>
    <n v="0"/>
    <x v="169"/>
    <n v="4"/>
    <s v="caught"/>
    <n v="1"/>
    <x v="0"/>
    <s v="Colombo (SSC)"/>
    <x v="196"/>
    <x v="2"/>
    <x v="0"/>
    <x v="0"/>
  </r>
  <r>
    <x v="224"/>
    <x v="54"/>
    <x v="127"/>
    <n v="63"/>
    <n v="2"/>
    <n v="0"/>
    <x v="32"/>
    <n v="4"/>
    <s v="caught"/>
    <n v="3"/>
    <x v="0"/>
    <s v="Colombo (SSC)"/>
    <x v="196"/>
    <x v="2"/>
    <x v="0"/>
    <x v="0"/>
  </r>
  <r>
    <x v="225"/>
    <x v="71"/>
    <x v="128"/>
    <n v="27"/>
    <n v="1"/>
    <n v="3"/>
    <x v="172"/>
    <n v="3"/>
    <s v="caught"/>
    <n v="1"/>
    <x v="5"/>
    <s v="Dharamsala"/>
    <x v="197"/>
    <x v="1"/>
    <x v="0"/>
    <x v="0"/>
  </r>
  <r>
    <x v="226"/>
    <x v="29"/>
    <x v="16"/>
    <n v="1"/>
    <n v="0"/>
    <n v="0"/>
    <x v="4"/>
    <n v="3"/>
    <s v="run out"/>
    <n v="1"/>
    <x v="5"/>
    <s v="Cuttack"/>
    <x v="198"/>
    <x v="1"/>
    <x v="0"/>
    <x v="0"/>
  </r>
  <r>
    <x v="227"/>
    <x v="19"/>
    <x v="60"/>
    <n v="18"/>
    <n v="0"/>
    <n v="0"/>
    <x v="173"/>
    <n v="4"/>
    <s v="caught"/>
    <n v="2"/>
    <x v="5"/>
    <s v="Kanpur"/>
    <x v="199"/>
    <x v="0"/>
    <x v="0"/>
    <x v="0"/>
  </r>
  <r>
    <x v="228"/>
    <x v="0"/>
    <x v="119"/>
    <n v="18"/>
    <n v="0"/>
    <n v="0"/>
    <x v="5"/>
    <n v="4"/>
    <s v="run out"/>
    <n v="1"/>
    <x v="5"/>
    <s v="Indore"/>
    <x v="200"/>
    <x v="0"/>
    <x v="0"/>
    <x v="0"/>
  </r>
  <r>
    <x v="229"/>
    <x v="51"/>
    <x v="129"/>
    <n v="99"/>
    <n v="5"/>
    <n v="0"/>
    <x v="75"/>
    <n v="3"/>
    <s v="caught"/>
    <n v="2"/>
    <x v="5"/>
    <s v="Rajkot"/>
    <x v="201"/>
    <x v="0"/>
    <x v="0"/>
    <x v="1"/>
  </r>
  <r>
    <x v="230"/>
    <x v="93"/>
    <x v="130"/>
    <n v="140"/>
    <n v="6"/>
    <n v="5"/>
    <x v="174"/>
    <n v="3"/>
    <s v="caught"/>
    <n v="1"/>
    <x v="5"/>
    <s v="Chennai"/>
    <x v="202"/>
    <x v="0"/>
    <x v="1"/>
    <x v="0"/>
  </r>
  <r>
    <x v="231"/>
    <x v="29"/>
    <x v="22"/>
    <n v="4"/>
    <n v="0"/>
    <n v="0"/>
    <x v="14"/>
    <n v="4"/>
    <s v="caught"/>
    <n v="1"/>
    <x v="5"/>
    <s v="Mohali"/>
    <x v="203"/>
    <x v="2"/>
    <x v="0"/>
    <x v="0"/>
  </r>
  <r>
    <x v="232"/>
    <x v="73"/>
    <x v="45"/>
    <n v="71"/>
    <n v="4"/>
    <n v="0"/>
    <x v="175"/>
    <n v="4"/>
    <s v="caught"/>
    <n v="3"/>
    <x v="5"/>
    <s v="Mohali"/>
    <x v="203"/>
    <x v="2"/>
    <x v="0"/>
    <x v="0"/>
  </r>
  <r>
    <x v="233"/>
    <x v="25"/>
    <x v="131"/>
    <n v="55"/>
    <n v="2"/>
    <n v="0"/>
    <x v="43"/>
    <n v="4"/>
    <s v="caught"/>
    <n v="1"/>
    <x v="5"/>
    <s v="Nagpur"/>
    <x v="204"/>
    <x v="2"/>
    <x v="0"/>
    <x v="0"/>
  </r>
  <r>
    <x v="234"/>
    <x v="48"/>
    <x v="132"/>
    <n v="62"/>
    <n v="7"/>
    <n v="0"/>
    <x v="176"/>
    <n v="4"/>
    <s v="caught"/>
    <n v="1"/>
    <x v="5"/>
    <s v="Delhi"/>
    <x v="205"/>
    <x v="2"/>
    <x v="0"/>
    <x v="0"/>
  </r>
  <r>
    <x v="235"/>
    <x v="12"/>
    <x v="67"/>
    <n v="97"/>
    <n v="9"/>
    <n v="1"/>
    <x v="177"/>
    <n v="3"/>
    <s v="caught"/>
    <n v="1"/>
    <x v="3"/>
    <s v="W.A.C.A"/>
    <x v="206"/>
    <x v="0"/>
    <x v="0"/>
    <x v="1"/>
  </r>
  <r>
    <x v="236"/>
    <x v="30"/>
    <x v="133"/>
    <n v="67"/>
    <n v="4"/>
    <n v="0"/>
    <x v="178"/>
    <n v="3"/>
    <s v="run out"/>
    <n v="1"/>
    <x v="3"/>
    <s v="Brisbane"/>
    <x v="207"/>
    <x v="0"/>
    <x v="0"/>
    <x v="1"/>
  </r>
  <r>
    <x v="237"/>
    <x v="44"/>
    <x v="134"/>
    <n v="117"/>
    <n v="7"/>
    <n v="2"/>
    <x v="4"/>
    <n v="3"/>
    <s v="caught"/>
    <n v="1"/>
    <x v="3"/>
    <s v="Melbourne"/>
    <x v="208"/>
    <x v="0"/>
    <x v="1"/>
    <x v="0"/>
  </r>
  <r>
    <x v="238"/>
    <x v="58"/>
    <x v="102"/>
    <n v="92"/>
    <n v="11"/>
    <n v="1"/>
    <x v="179"/>
    <n v="3"/>
    <s v="caught"/>
    <n v="2"/>
    <x v="3"/>
    <s v="Canberra"/>
    <x v="209"/>
    <x v="0"/>
    <x v="1"/>
    <x v="0"/>
  </r>
  <r>
    <x v="239"/>
    <x v="27"/>
    <x v="31"/>
    <n v="11"/>
    <n v="1"/>
    <n v="0"/>
    <x v="38"/>
    <n v="3"/>
    <s v="caught"/>
    <n v="2"/>
    <x v="3"/>
    <s v="Sydney"/>
    <x v="210"/>
    <x v="0"/>
    <x v="0"/>
    <x v="0"/>
  </r>
  <r>
    <x v="240"/>
    <x v="94"/>
    <x v="124"/>
    <n v="55"/>
    <n v="9"/>
    <n v="2"/>
    <x v="143"/>
    <n v="3"/>
    <s v="not out"/>
    <n v="1"/>
    <x v="3"/>
    <s v="Adelaide"/>
    <x v="211"/>
    <x v="1"/>
    <x v="0"/>
    <x v="1"/>
  </r>
  <r>
    <x v="241"/>
    <x v="30"/>
    <x v="63"/>
    <n v="33"/>
    <n v="7"/>
    <n v="1"/>
    <x v="180"/>
    <n v="3"/>
    <s v="not out"/>
    <n v="1"/>
    <x v="3"/>
    <s v="Melbourne"/>
    <x v="212"/>
    <x v="1"/>
    <x v="0"/>
    <x v="1"/>
  </r>
  <r>
    <x v="242"/>
    <x v="65"/>
    <x v="122"/>
    <n v="36"/>
    <n v="2"/>
    <n v="1"/>
    <x v="181"/>
    <n v="3"/>
    <s v="bowled"/>
    <n v="2"/>
    <x v="3"/>
    <s v="Sydney"/>
    <x v="213"/>
    <x v="1"/>
    <x v="0"/>
    <x v="1"/>
  </r>
  <r>
    <x v="243"/>
    <x v="39"/>
    <x v="20"/>
    <n v="12"/>
    <n v="1"/>
    <n v="0"/>
    <x v="182"/>
    <n v="3"/>
    <s v="caught"/>
    <n v="1"/>
    <x v="4"/>
    <s v="Mirpur"/>
    <x v="214"/>
    <x v="1"/>
    <x v="0"/>
    <x v="0"/>
  </r>
  <r>
    <x v="244"/>
    <x v="95"/>
    <x v="124"/>
    <n v="51"/>
    <n v="7"/>
    <n v="0"/>
    <x v="183"/>
    <n v="3"/>
    <s v="lbw"/>
    <n v="2"/>
    <x v="1"/>
    <s v="Mirpur"/>
    <x v="215"/>
    <x v="1"/>
    <x v="0"/>
    <x v="0"/>
  </r>
  <r>
    <x v="245"/>
    <x v="96"/>
    <x v="135"/>
    <n v="47"/>
    <n v="7"/>
    <n v="0"/>
    <x v="184"/>
    <n v="3"/>
    <s v="not out"/>
    <n v="2"/>
    <x v="0"/>
    <s v="Mirpur"/>
    <x v="216"/>
    <x v="1"/>
    <x v="0"/>
    <x v="1"/>
  </r>
  <r>
    <x v="246"/>
    <x v="70"/>
    <x v="44"/>
    <n v="28"/>
    <n v="5"/>
    <n v="0"/>
    <x v="185"/>
    <n v="3"/>
    <s v="not out"/>
    <n v="2"/>
    <x v="4"/>
    <s v="Mirpur"/>
    <x v="217"/>
    <x v="1"/>
    <x v="0"/>
    <x v="0"/>
  </r>
  <r>
    <x v="247"/>
    <x v="46"/>
    <x v="38"/>
    <n v="27"/>
    <n v="2"/>
    <n v="0"/>
    <x v="167"/>
    <n v="3"/>
    <s v="caught"/>
    <n v="2"/>
    <x v="7"/>
    <s v="Nagpur"/>
    <x v="218"/>
    <x v="1"/>
    <x v="0"/>
    <x v="0"/>
  </r>
  <r>
    <x v="248"/>
    <x v="38"/>
    <x v="88"/>
    <n v="37"/>
    <n v="7"/>
    <n v="1"/>
    <x v="186"/>
    <n v="3"/>
    <s v="not out"/>
    <n v="2"/>
    <x v="1"/>
    <s v="Eden Gardens"/>
    <x v="219"/>
    <x v="1"/>
    <x v="0"/>
    <x v="1"/>
  </r>
  <r>
    <x v="249"/>
    <x v="31"/>
    <x v="136"/>
    <n v="24"/>
    <n v="0"/>
    <n v="1"/>
    <x v="4"/>
    <n v="3"/>
    <s v="bowled"/>
    <n v="1"/>
    <x v="4"/>
    <s v="Bengaluru"/>
    <x v="220"/>
    <x v="1"/>
    <x v="0"/>
    <x v="0"/>
  </r>
  <r>
    <x v="250"/>
    <x v="16"/>
    <x v="137"/>
    <n v="51"/>
    <n v="9"/>
    <n v="2"/>
    <x v="187"/>
    <n v="3"/>
    <s v="not out"/>
    <n v="2"/>
    <x v="3"/>
    <s v="Mohali"/>
    <x v="221"/>
    <x v="1"/>
    <x v="0"/>
    <x v="1"/>
  </r>
  <r>
    <x v="251"/>
    <x v="97"/>
    <x v="138"/>
    <n v="47"/>
    <n v="11"/>
    <n v="1"/>
    <x v="188"/>
    <n v="3"/>
    <s v="not out"/>
    <n v="1"/>
    <x v="2"/>
    <s v="Wankhede"/>
    <x v="222"/>
    <x v="1"/>
    <x v="0"/>
    <x v="1"/>
  </r>
  <r>
    <x v="252"/>
    <x v="98"/>
    <x v="139"/>
    <n v="283"/>
    <n v="24"/>
    <n v="0"/>
    <x v="189"/>
    <n v="4"/>
    <s v="bowled"/>
    <n v="1"/>
    <x v="2"/>
    <s v="North Sound"/>
    <x v="223"/>
    <x v="2"/>
    <x v="1"/>
    <x v="0"/>
  </r>
  <r>
    <x v="253"/>
    <x v="48"/>
    <x v="140"/>
    <n v="90"/>
    <n v="4"/>
    <n v="1"/>
    <x v="190"/>
    <n v="4"/>
    <s v="caught"/>
    <n v="2"/>
    <x v="2"/>
    <s v="Kingston"/>
    <x v="224"/>
    <x v="2"/>
    <x v="0"/>
    <x v="0"/>
  </r>
  <r>
    <x v="254"/>
    <x v="43"/>
    <x v="80"/>
    <n v="8"/>
    <n v="0"/>
    <n v="0"/>
    <x v="63"/>
    <n v="3"/>
    <s v="caught"/>
    <n v="1"/>
    <x v="2"/>
    <s v="Gros Islet"/>
    <x v="225"/>
    <x v="2"/>
    <x v="0"/>
    <x v="0"/>
  </r>
  <r>
    <x v="255"/>
    <x v="36"/>
    <x v="53"/>
    <n v="17"/>
    <n v="0"/>
    <n v="0"/>
    <x v="191"/>
    <n v="3"/>
    <s v="lbw"/>
    <n v="3"/>
    <x v="2"/>
    <s v="Gros Islet"/>
    <x v="225"/>
    <x v="2"/>
    <x v="0"/>
    <x v="0"/>
  </r>
  <r>
    <x v="256"/>
    <x v="5"/>
    <x v="90"/>
    <n v="9"/>
    <n v="3"/>
    <n v="0"/>
    <x v="192"/>
    <n v="3"/>
    <s v="caught"/>
    <n v="2"/>
    <x v="2"/>
    <s v="Lauderhill"/>
    <x v="226"/>
    <x v="1"/>
    <x v="0"/>
    <x v="0"/>
  </r>
  <r>
    <x v="257"/>
    <x v="11"/>
    <x v="33"/>
    <n v="10"/>
    <n v="2"/>
    <n v="0"/>
    <x v="27"/>
    <n v="4"/>
    <s v="caught"/>
    <n v="1"/>
    <x v="7"/>
    <s v="Kanpur"/>
    <x v="227"/>
    <x v="2"/>
    <x v="0"/>
    <x v="0"/>
  </r>
  <r>
    <x v="258"/>
    <x v="52"/>
    <x v="3"/>
    <n v="40"/>
    <n v="3"/>
    <n v="0"/>
    <x v="193"/>
    <n v="4"/>
    <s v="caught"/>
    <n v="3"/>
    <x v="7"/>
    <s v="Kanpur"/>
    <x v="227"/>
    <x v="2"/>
    <x v="0"/>
    <x v="0"/>
  </r>
  <r>
    <x v="259"/>
    <x v="99"/>
    <x v="1"/>
    <n v="65"/>
    <n v="7"/>
    <n v="0"/>
    <x v="194"/>
    <n v="4"/>
    <s v="lbw"/>
    <n v="3"/>
    <x v="7"/>
    <s v="Eden Gardens"/>
    <x v="228"/>
    <x v="2"/>
    <x v="0"/>
    <x v="0"/>
  </r>
  <r>
    <x v="260"/>
    <x v="100"/>
    <x v="141"/>
    <n v="366"/>
    <n v="20"/>
    <n v="0"/>
    <x v="195"/>
    <n v="4"/>
    <s v="lbw"/>
    <n v="1"/>
    <x v="7"/>
    <s v="Indore"/>
    <x v="229"/>
    <x v="2"/>
    <x v="1"/>
    <x v="0"/>
  </r>
  <r>
    <x v="261"/>
    <x v="101"/>
    <x v="113"/>
    <n v="81"/>
    <n v="9"/>
    <n v="1"/>
    <x v="196"/>
    <n v="3"/>
    <s v="not out"/>
    <n v="2"/>
    <x v="7"/>
    <s v="Dharamsala"/>
    <x v="230"/>
    <x v="0"/>
    <x v="0"/>
    <x v="1"/>
  </r>
  <r>
    <x v="262"/>
    <x v="11"/>
    <x v="47"/>
    <n v="13"/>
    <n v="1"/>
    <n v="0"/>
    <x v="194"/>
    <n v="3"/>
    <s v="caught"/>
    <n v="2"/>
    <x v="7"/>
    <s v="Delhi"/>
    <x v="231"/>
    <x v="0"/>
    <x v="0"/>
    <x v="0"/>
  </r>
  <r>
    <x v="263"/>
    <x v="102"/>
    <x v="130"/>
    <n v="134"/>
    <n v="16"/>
    <n v="1"/>
    <x v="197"/>
    <n v="3"/>
    <s v="not out"/>
    <n v="2"/>
    <x v="7"/>
    <s v="Mohali"/>
    <x v="232"/>
    <x v="0"/>
    <x v="1"/>
    <x v="0"/>
  </r>
  <r>
    <x v="264"/>
    <x v="99"/>
    <x v="123"/>
    <n v="51"/>
    <n v="2"/>
    <n v="1"/>
    <x v="198"/>
    <n v="3"/>
    <s v="caught"/>
    <n v="2"/>
    <x v="7"/>
    <s v="Ranchi"/>
    <x v="233"/>
    <x v="0"/>
    <x v="0"/>
    <x v="0"/>
  </r>
  <r>
    <x v="265"/>
    <x v="103"/>
    <x v="142"/>
    <n v="76"/>
    <n v="2"/>
    <n v="1"/>
    <x v="199"/>
    <n v="3"/>
    <s v="caught"/>
    <n v="1"/>
    <x v="7"/>
    <s v="Visakhapatnam"/>
    <x v="234"/>
    <x v="0"/>
    <x v="0"/>
    <x v="1"/>
  </r>
  <r>
    <x v="266"/>
    <x v="66"/>
    <x v="42"/>
    <n v="95"/>
    <n v="5"/>
    <n v="0"/>
    <x v="200"/>
    <n v="4"/>
    <s v="hit wicket"/>
    <n v="2"/>
    <x v="8"/>
    <s v="Rajkot"/>
    <x v="235"/>
    <x v="2"/>
    <x v="0"/>
    <x v="0"/>
  </r>
  <r>
    <x v="267"/>
    <x v="95"/>
    <x v="101"/>
    <n v="98"/>
    <n v="6"/>
    <n v="0"/>
    <x v="20"/>
    <n v="4"/>
    <s v="not out"/>
    <n v="4"/>
    <x v="8"/>
    <s v="Rajkot"/>
    <x v="235"/>
    <x v="2"/>
    <x v="0"/>
    <x v="0"/>
  </r>
  <r>
    <x v="268"/>
    <x v="104"/>
    <x v="143"/>
    <n v="267"/>
    <n v="18"/>
    <n v="0"/>
    <x v="201"/>
    <n v="4"/>
    <s v="caught"/>
    <n v="1"/>
    <x v="8"/>
    <s v="Visakhapatnam"/>
    <x v="236"/>
    <x v="2"/>
    <x v="1"/>
    <x v="0"/>
  </r>
  <r>
    <x v="269"/>
    <x v="34"/>
    <x v="144"/>
    <n v="109"/>
    <n v="8"/>
    <n v="0"/>
    <x v="202"/>
    <n v="4"/>
    <s v="caught"/>
    <n v="3"/>
    <x v="8"/>
    <s v="Visakhapatnam"/>
    <x v="236"/>
    <x v="2"/>
    <x v="0"/>
    <x v="1"/>
  </r>
  <r>
    <x v="270"/>
    <x v="87"/>
    <x v="145"/>
    <n v="127"/>
    <n v="9"/>
    <n v="0"/>
    <x v="203"/>
    <n v="4"/>
    <s v="caught"/>
    <n v="2"/>
    <x v="8"/>
    <s v="Mohali"/>
    <x v="237"/>
    <x v="2"/>
    <x v="0"/>
    <x v="1"/>
  </r>
  <r>
    <x v="271"/>
    <x v="69"/>
    <x v="31"/>
    <n v="11"/>
    <n v="0"/>
    <n v="0"/>
    <x v="0"/>
    <n v="4"/>
    <s v="not out"/>
    <n v="4"/>
    <x v="8"/>
    <s v="Mohali"/>
    <x v="237"/>
    <x v="2"/>
    <x v="0"/>
    <x v="0"/>
  </r>
  <r>
    <x v="272"/>
    <x v="105"/>
    <x v="146"/>
    <n v="340"/>
    <n v="25"/>
    <n v="1"/>
    <x v="204"/>
    <n v="4"/>
    <s v="caught"/>
    <n v="2"/>
    <x v="8"/>
    <s v="Wankhede"/>
    <x v="238"/>
    <x v="2"/>
    <x v="1"/>
    <x v="0"/>
  </r>
  <r>
    <x v="273"/>
    <x v="37"/>
    <x v="63"/>
    <n v="29"/>
    <n v="1"/>
    <n v="0"/>
    <x v="205"/>
    <n v="4"/>
    <s v="caught"/>
    <n v="2"/>
    <x v="8"/>
    <s v="Chennai"/>
    <x v="239"/>
    <x v="2"/>
    <x v="0"/>
    <x v="0"/>
  </r>
  <r>
    <x v="274"/>
    <x v="106"/>
    <x v="147"/>
    <n v="105"/>
    <n v="8"/>
    <n v="5"/>
    <x v="206"/>
    <n v="3"/>
    <s v="caught"/>
    <n v="2"/>
    <x v="8"/>
    <s v="Pune"/>
    <x v="240"/>
    <x v="0"/>
    <x v="1"/>
    <x v="0"/>
  </r>
  <r>
    <x v="275"/>
    <x v="27"/>
    <x v="4"/>
    <n v="5"/>
    <n v="2"/>
    <n v="0"/>
    <x v="34"/>
    <n v="3"/>
    <s v="caught"/>
    <n v="1"/>
    <x v="8"/>
    <s v="Cuttack"/>
    <x v="241"/>
    <x v="0"/>
    <x v="0"/>
    <x v="0"/>
  </r>
  <r>
    <x v="276"/>
    <x v="38"/>
    <x v="148"/>
    <n v="63"/>
    <n v="8"/>
    <n v="0"/>
    <x v="207"/>
    <n v="3"/>
    <s v="caught"/>
    <n v="2"/>
    <x v="8"/>
    <s v="Eden Gardens"/>
    <x v="242"/>
    <x v="0"/>
    <x v="0"/>
    <x v="1"/>
  </r>
  <r>
    <x v="277"/>
    <x v="73"/>
    <x v="110"/>
    <n v="26"/>
    <n v="4"/>
    <n v="0"/>
    <x v="208"/>
    <n v="1"/>
    <s v="caught"/>
    <n v="1"/>
    <x v="8"/>
    <s v="Kanpur"/>
    <x v="243"/>
    <x v="1"/>
    <x v="0"/>
    <x v="0"/>
  </r>
  <r>
    <x v="278"/>
    <x v="54"/>
    <x v="80"/>
    <n v="15"/>
    <n v="2"/>
    <n v="1"/>
    <x v="209"/>
    <n v="1"/>
    <s v="caught"/>
    <n v="1"/>
    <x v="8"/>
    <s v="Nagpur"/>
    <x v="244"/>
    <x v="1"/>
    <x v="0"/>
    <x v="0"/>
  </r>
  <r>
    <x v="279"/>
    <x v="4"/>
    <x v="4"/>
    <n v="4"/>
    <n v="0"/>
    <n v="0"/>
    <x v="20"/>
    <n v="1"/>
    <s v="run out"/>
    <n v="1"/>
    <x v="8"/>
    <s v="Bengaluru"/>
    <x v="245"/>
    <x v="1"/>
    <x v="0"/>
    <x v="0"/>
  </r>
  <r>
    <x v="280"/>
    <x v="107"/>
    <x v="149"/>
    <n v="246"/>
    <n v="24"/>
    <n v="0"/>
    <x v="210"/>
    <n v="4"/>
    <s v="lbw"/>
    <n v="1"/>
    <x v="4"/>
    <s v="Hyderabad"/>
    <x v="246"/>
    <x v="2"/>
    <x v="1"/>
    <x v="0"/>
  </r>
  <r>
    <x v="281"/>
    <x v="59"/>
    <x v="30"/>
    <n v="40"/>
    <n v="2"/>
    <n v="1"/>
    <x v="211"/>
    <n v="4"/>
    <s v="caught"/>
    <n v="3"/>
    <x v="4"/>
    <s v="Hyderabad"/>
    <x v="246"/>
    <x v="2"/>
    <x v="0"/>
    <x v="0"/>
  </r>
  <r>
    <x v="282"/>
    <x v="15"/>
    <x v="35"/>
    <n v="2"/>
    <n v="0"/>
    <n v="0"/>
    <x v="23"/>
    <n v="4"/>
    <s v="caught"/>
    <n v="2"/>
    <x v="3"/>
    <s v="Pune"/>
    <x v="247"/>
    <x v="2"/>
    <x v="0"/>
    <x v="0"/>
  </r>
  <r>
    <x v="283"/>
    <x v="86"/>
    <x v="0"/>
    <n v="37"/>
    <n v="1"/>
    <n v="0"/>
    <x v="212"/>
    <n v="4"/>
    <s v="bowled"/>
    <n v="4"/>
    <x v="3"/>
    <s v="Pune"/>
    <x v="247"/>
    <x v="2"/>
    <x v="0"/>
    <x v="0"/>
  </r>
  <r>
    <x v="284"/>
    <x v="0"/>
    <x v="15"/>
    <n v="17"/>
    <n v="2"/>
    <n v="0"/>
    <x v="213"/>
    <n v="4"/>
    <s v="lbw"/>
    <n v="1"/>
    <x v="3"/>
    <s v="Bengaluru"/>
    <x v="248"/>
    <x v="2"/>
    <x v="0"/>
    <x v="0"/>
  </r>
  <r>
    <x v="285"/>
    <x v="37"/>
    <x v="110"/>
    <n v="25"/>
    <n v="1"/>
    <n v="0"/>
    <x v="36"/>
    <n v="4"/>
    <s v="lbw"/>
    <n v="3"/>
    <x v="3"/>
    <s v="Bengaluru"/>
    <x v="248"/>
    <x v="2"/>
    <x v="0"/>
    <x v="0"/>
  </r>
  <r>
    <x v="286"/>
    <x v="69"/>
    <x v="36"/>
    <n v="23"/>
    <n v="0"/>
    <n v="0"/>
    <x v="214"/>
    <n v="4"/>
    <s v="caught"/>
    <n v="2"/>
    <x v="3"/>
    <s v="Ranchi"/>
    <x v="249"/>
    <x v="2"/>
    <x v="0"/>
    <x v="0"/>
  </r>
  <r>
    <x v="287"/>
    <x v="34"/>
    <x v="150"/>
    <n v="68"/>
    <n v="6"/>
    <n v="3"/>
    <x v="215"/>
    <n v="3"/>
    <s v="not out"/>
    <n v="1"/>
    <x v="1"/>
    <s v="Birmingham"/>
    <x v="250"/>
    <x v="0"/>
    <x v="0"/>
    <x v="1"/>
  </r>
  <r>
    <x v="288"/>
    <x v="15"/>
    <x v="22"/>
    <n v="5"/>
    <n v="0"/>
    <n v="0"/>
    <x v="23"/>
    <n v="3"/>
    <s v="caught"/>
    <n v="1"/>
    <x v="0"/>
    <s v="The Oval"/>
    <x v="251"/>
    <x v="0"/>
    <x v="0"/>
    <x v="0"/>
  </r>
  <r>
    <x v="289"/>
    <x v="108"/>
    <x v="12"/>
    <n v="101"/>
    <n v="7"/>
    <n v="1"/>
    <x v="216"/>
    <n v="3"/>
    <s v="not out"/>
    <n v="2"/>
    <x v="5"/>
    <s v="The Oval"/>
    <x v="252"/>
    <x v="0"/>
    <x v="0"/>
    <x v="1"/>
  </r>
  <r>
    <x v="290"/>
    <x v="77"/>
    <x v="59"/>
    <n v="78"/>
    <n v="13"/>
    <n v="0"/>
    <x v="217"/>
    <n v="3"/>
    <s v="not out"/>
    <n v="2"/>
    <x v="4"/>
    <s v="Birmingham"/>
    <x v="253"/>
    <x v="0"/>
    <x v="0"/>
    <x v="1"/>
  </r>
  <r>
    <x v="291"/>
    <x v="82"/>
    <x v="31"/>
    <n v="9"/>
    <n v="0"/>
    <n v="0"/>
    <x v="218"/>
    <n v="3"/>
    <s v="caught"/>
    <n v="2"/>
    <x v="1"/>
    <s v="The Oval"/>
    <x v="254"/>
    <x v="0"/>
    <x v="0"/>
    <x v="0"/>
  </r>
  <r>
    <x v="292"/>
    <x v="109"/>
    <x v="3"/>
    <n v="47"/>
    <n v="1"/>
    <n v="0"/>
    <x v="219"/>
    <n v="3"/>
    <s v="not out"/>
    <n v="1"/>
    <x v="2"/>
    <s v="Port of Spain"/>
    <x v="255"/>
    <x v="0"/>
    <x v="0"/>
    <x v="0"/>
  </r>
  <r>
    <x v="293"/>
    <x v="110"/>
    <x v="84"/>
    <n v="66"/>
    <n v="4"/>
    <n v="4"/>
    <x v="118"/>
    <n v="3"/>
    <s v="caught"/>
    <n v="1"/>
    <x v="2"/>
    <s v="Port of Spain"/>
    <x v="256"/>
    <x v="0"/>
    <x v="0"/>
    <x v="1"/>
  </r>
  <r>
    <x v="294"/>
    <x v="19"/>
    <x v="9"/>
    <n v="22"/>
    <n v="2"/>
    <n v="0"/>
    <x v="20"/>
    <n v="3"/>
    <s v="caught"/>
    <n v="1"/>
    <x v="2"/>
    <s v="North Sound"/>
    <x v="257"/>
    <x v="0"/>
    <x v="0"/>
    <x v="0"/>
  </r>
  <r>
    <x v="295"/>
    <x v="43"/>
    <x v="22"/>
    <n v="12"/>
    <n v="0"/>
    <n v="0"/>
    <x v="14"/>
    <n v="3"/>
    <s v="caught"/>
    <n v="2"/>
    <x v="2"/>
    <s v="North Sound"/>
    <x v="258"/>
    <x v="0"/>
    <x v="0"/>
    <x v="0"/>
  </r>
  <r>
    <x v="296"/>
    <x v="111"/>
    <x v="151"/>
    <n v="115"/>
    <n v="12"/>
    <n v="2"/>
    <x v="220"/>
    <n v="3"/>
    <s v="not out"/>
    <n v="2"/>
    <x v="2"/>
    <s v="Kingston"/>
    <x v="259"/>
    <x v="0"/>
    <x v="1"/>
    <x v="0"/>
  </r>
  <r>
    <x v="297"/>
    <x v="85"/>
    <x v="2"/>
    <n v="22"/>
    <n v="7"/>
    <n v="1"/>
    <x v="221"/>
    <n v="1"/>
    <s v="caught"/>
    <n v="1"/>
    <x v="2"/>
    <s v="Kingston"/>
    <x v="260"/>
    <x v="1"/>
    <x v="0"/>
    <x v="0"/>
  </r>
  <r>
    <x v="298"/>
    <x v="43"/>
    <x v="38"/>
    <n v="8"/>
    <n v="0"/>
    <n v="0"/>
    <x v="63"/>
    <n v="4"/>
    <s v="caught"/>
    <n v="1"/>
    <x v="0"/>
    <s v="Galle"/>
    <x v="261"/>
    <x v="2"/>
    <x v="0"/>
    <x v="0"/>
  </r>
  <r>
    <x v="299"/>
    <x v="62"/>
    <x v="70"/>
    <n v="136"/>
    <n v="5"/>
    <n v="1"/>
    <x v="222"/>
    <n v="4"/>
    <s v="not out"/>
    <n v="3"/>
    <x v="0"/>
    <s v="Galle"/>
    <x v="261"/>
    <x v="2"/>
    <x v="1"/>
    <x v="0"/>
  </r>
  <r>
    <x v="300"/>
    <x v="86"/>
    <x v="81"/>
    <n v="29"/>
    <n v="2"/>
    <n v="0"/>
    <x v="223"/>
    <n v="4"/>
    <s v="caught"/>
    <n v="1"/>
    <x v="0"/>
    <s v="Colombo (SSC)"/>
    <x v="262"/>
    <x v="2"/>
    <x v="0"/>
    <x v="0"/>
  </r>
  <r>
    <x v="301"/>
    <x v="112"/>
    <x v="108"/>
    <n v="84"/>
    <n v="3"/>
    <n v="0"/>
    <x v="20"/>
    <n v="4"/>
    <s v="caught"/>
    <n v="1"/>
    <x v="0"/>
    <s v="Pallekele"/>
    <x v="263"/>
    <x v="2"/>
    <x v="0"/>
    <x v="0"/>
  </r>
  <r>
    <x v="302"/>
    <x v="16"/>
    <x v="89"/>
    <n v="70"/>
    <n v="10"/>
    <n v="1"/>
    <x v="224"/>
    <n v="3"/>
    <s v="not out"/>
    <n v="2"/>
    <x v="0"/>
    <s v="Dambulla"/>
    <x v="264"/>
    <x v="0"/>
    <x v="0"/>
    <x v="1"/>
  </r>
  <r>
    <x v="303"/>
    <x v="36"/>
    <x v="22"/>
    <n v="2"/>
    <n v="1"/>
    <n v="0"/>
    <x v="225"/>
    <n v="5"/>
    <s v="bowled"/>
    <n v="2"/>
    <x v="0"/>
    <s v="Pallekele"/>
    <x v="265"/>
    <x v="0"/>
    <x v="0"/>
    <x v="0"/>
  </r>
  <r>
    <x v="304"/>
    <x v="43"/>
    <x v="22"/>
    <n v="11"/>
    <n v="0"/>
    <n v="0"/>
    <x v="226"/>
    <n v="3"/>
    <s v="caught"/>
    <n v="2"/>
    <x v="0"/>
    <s v="Pallekele"/>
    <x v="266"/>
    <x v="0"/>
    <x v="0"/>
    <x v="0"/>
  </r>
  <r>
    <x v="305"/>
    <x v="113"/>
    <x v="152"/>
    <n v="96"/>
    <n v="17"/>
    <n v="2"/>
    <x v="227"/>
    <n v="3"/>
    <s v="caught"/>
    <n v="1"/>
    <x v="0"/>
    <s v="Colombo (RPS)"/>
    <x v="267"/>
    <x v="0"/>
    <x v="1"/>
    <x v="0"/>
  </r>
  <r>
    <x v="306"/>
    <x v="114"/>
    <x v="10"/>
    <n v="116"/>
    <n v="9"/>
    <n v="0"/>
    <x v="228"/>
    <n v="3"/>
    <s v="not out"/>
    <n v="2"/>
    <x v="0"/>
    <s v="Colombo (RPS)"/>
    <x v="268"/>
    <x v="0"/>
    <x v="1"/>
    <x v="0"/>
  </r>
  <r>
    <x v="307"/>
    <x v="16"/>
    <x v="78"/>
    <n v="54"/>
    <n v="7"/>
    <n v="1"/>
    <x v="229"/>
    <n v="3"/>
    <s v="caught"/>
    <n v="2"/>
    <x v="0"/>
    <s v="Colombo (RPS)"/>
    <x v="269"/>
    <x v="1"/>
    <x v="0"/>
    <x v="1"/>
  </r>
  <r>
    <x v="308"/>
    <x v="15"/>
    <x v="95"/>
    <n v="4"/>
    <n v="0"/>
    <n v="0"/>
    <x v="23"/>
    <n v="3"/>
    <s v="caught"/>
    <n v="1"/>
    <x v="3"/>
    <s v="Chennai"/>
    <x v="270"/>
    <x v="0"/>
    <x v="0"/>
    <x v="0"/>
  </r>
  <r>
    <x v="309"/>
    <x v="115"/>
    <x v="67"/>
    <n v="107"/>
    <n v="8"/>
    <n v="0"/>
    <x v="230"/>
    <n v="3"/>
    <s v="bowled"/>
    <n v="1"/>
    <x v="3"/>
    <s v="Eden Gardens"/>
    <x v="271"/>
    <x v="0"/>
    <x v="0"/>
    <x v="1"/>
  </r>
  <r>
    <x v="310"/>
    <x v="20"/>
    <x v="128"/>
    <n v="35"/>
    <n v="2"/>
    <n v="0"/>
    <x v="47"/>
    <n v="3"/>
    <s v="caught"/>
    <n v="2"/>
    <x v="3"/>
    <s v="Indore"/>
    <x v="272"/>
    <x v="0"/>
    <x v="0"/>
    <x v="0"/>
  </r>
  <r>
    <x v="311"/>
    <x v="54"/>
    <x v="105"/>
    <n v="21"/>
    <n v="3"/>
    <n v="0"/>
    <x v="4"/>
    <n v="3"/>
    <s v="bowled"/>
    <n v="2"/>
    <x v="3"/>
    <s v="Bengaluru"/>
    <x v="273"/>
    <x v="0"/>
    <x v="0"/>
    <x v="0"/>
  </r>
  <r>
    <x v="312"/>
    <x v="85"/>
    <x v="131"/>
    <n v="55"/>
    <n v="2"/>
    <n v="0"/>
    <x v="231"/>
    <n v="3"/>
    <s v="caught"/>
    <n v="2"/>
    <x v="3"/>
    <s v="Nagpur"/>
    <x v="274"/>
    <x v="0"/>
    <x v="0"/>
    <x v="0"/>
  </r>
  <r>
    <x v="313"/>
    <x v="25"/>
    <x v="11"/>
    <n v="14"/>
    <n v="3"/>
    <n v="0"/>
    <x v="232"/>
    <n v="3"/>
    <s v="not out"/>
    <n v="2"/>
    <x v="3"/>
    <s v="Ranchi"/>
    <x v="275"/>
    <x v="1"/>
    <x v="0"/>
    <x v="0"/>
  </r>
  <r>
    <x v="314"/>
    <x v="15"/>
    <x v="35"/>
    <n v="2"/>
    <n v="0"/>
    <n v="0"/>
    <x v="23"/>
    <n v="3"/>
    <s v="caught"/>
    <n v="1"/>
    <x v="3"/>
    <s v="Guwahati"/>
    <x v="276"/>
    <x v="1"/>
    <x v="0"/>
    <x v="0"/>
  </r>
  <r>
    <x v="315"/>
    <x v="116"/>
    <x v="153"/>
    <n v="125"/>
    <n v="9"/>
    <n v="2"/>
    <x v="233"/>
    <n v="3"/>
    <s v="caught"/>
    <n v="1"/>
    <x v="7"/>
    <s v="Wankhede"/>
    <x v="277"/>
    <x v="0"/>
    <x v="1"/>
    <x v="0"/>
  </r>
  <r>
    <x v="316"/>
    <x v="73"/>
    <x v="2"/>
    <n v="29"/>
    <n v="3"/>
    <n v="1"/>
    <x v="4"/>
    <n v="3"/>
    <s v="caught"/>
    <n v="2"/>
    <x v="7"/>
    <s v="Pune"/>
    <x v="278"/>
    <x v="0"/>
    <x v="0"/>
    <x v="0"/>
  </r>
  <r>
    <x v="317"/>
    <x v="117"/>
    <x v="154"/>
    <n v="106"/>
    <n v="9"/>
    <n v="1"/>
    <x v="234"/>
    <n v="3"/>
    <s v="caught"/>
    <n v="1"/>
    <x v="7"/>
    <s v="Kanpur"/>
    <x v="279"/>
    <x v="0"/>
    <x v="1"/>
    <x v="0"/>
  </r>
  <r>
    <x v="318"/>
    <x v="18"/>
    <x v="11"/>
    <n v="11"/>
    <n v="0"/>
    <n v="3"/>
    <x v="235"/>
    <n v="4"/>
    <s v="not out"/>
    <n v="1"/>
    <x v="7"/>
    <s v="Delhi"/>
    <x v="280"/>
    <x v="1"/>
    <x v="0"/>
    <x v="0"/>
  </r>
  <r>
    <x v="319"/>
    <x v="103"/>
    <x v="155"/>
    <n v="42"/>
    <n v="8"/>
    <n v="1"/>
    <x v="236"/>
    <n v="4"/>
    <s v="caught"/>
    <n v="2"/>
    <x v="7"/>
    <s v="Rajkot"/>
    <x v="281"/>
    <x v="1"/>
    <x v="0"/>
    <x v="1"/>
  </r>
  <r>
    <x v="320"/>
    <x v="86"/>
    <x v="4"/>
    <n v="6"/>
    <n v="1"/>
    <n v="1"/>
    <x v="237"/>
    <n v="3"/>
    <s v="caught"/>
    <n v="1"/>
    <x v="7"/>
    <s v="Thiruvananthapuram"/>
    <x v="282"/>
    <x v="1"/>
    <x v="0"/>
    <x v="0"/>
  </r>
  <r>
    <x v="321"/>
    <x v="15"/>
    <x v="47"/>
    <n v="11"/>
    <n v="0"/>
    <n v="0"/>
    <x v="23"/>
    <n v="4"/>
    <s v="lbw"/>
    <n v="1"/>
    <x v="0"/>
    <s v="Eden Gardens"/>
    <x v="283"/>
    <x v="2"/>
    <x v="0"/>
    <x v="0"/>
  </r>
  <r>
    <x v="322"/>
    <x v="118"/>
    <x v="156"/>
    <n v="119"/>
    <n v="12"/>
    <n v="2"/>
    <x v="238"/>
    <n v="4"/>
    <s v="not out"/>
    <n v="3"/>
    <x v="0"/>
    <s v="Eden Gardens"/>
    <x v="283"/>
    <x v="2"/>
    <x v="1"/>
    <x v="0"/>
  </r>
  <r>
    <x v="323"/>
    <x v="119"/>
    <x v="157"/>
    <n v="267"/>
    <n v="17"/>
    <n v="2"/>
    <x v="239"/>
    <n v="4"/>
    <s v="caught"/>
    <n v="2"/>
    <x v="0"/>
    <s v="Nagpur"/>
    <x v="284"/>
    <x v="2"/>
    <x v="1"/>
    <x v="0"/>
  </r>
  <r>
    <x v="324"/>
    <x v="120"/>
    <x v="158"/>
    <n v="287"/>
    <n v="25"/>
    <n v="0"/>
    <x v="240"/>
    <n v="4"/>
    <s v="lbw"/>
    <n v="1"/>
    <x v="0"/>
    <s v="Delhi"/>
    <x v="285"/>
    <x v="2"/>
    <x v="1"/>
    <x v="0"/>
  </r>
  <r>
    <x v="325"/>
    <x v="65"/>
    <x v="159"/>
    <n v="58"/>
    <n v="3"/>
    <n v="0"/>
    <x v="241"/>
    <n v="5"/>
    <s v="caught"/>
    <n v="3"/>
    <x v="0"/>
    <s v="Delhi"/>
    <x v="285"/>
    <x v="2"/>
    <x v="0"/>
    <x v="1"/>
  </r>
  <r>
    <x v="326"/>
    <x v="82"/>
    <x v="100"/>
    <n v="13"/>
    <n v="0"/>
    <n v="0"/>
    <x v="242"/>
    <n v="4"/>
    <s v="caught"/>
    <n v="2"/>
    <x v="5"/>
    <s v="Cape Town"/>
    <x v="286"/>
    <x v="2"/>
    <x v="0"/>
    <x v="0"/>
  </r>
  <r>
    <x v="327"/>
    <x v="20"/>
    <x v="44"/>
    <n v="40"/>
    <n v="4"/>
    <n v="0"/>
    <x v="243"/>
    <n v="4"/>
    <s v="lbw"/>
    <n v="4"/>
    <x v="5"/>
    <s v="Cape Town"/>
    <x v="286"/>
    <x v="2"/>
    <x v="0"/>
    <x v="0"/>
  </r>
  <r>
    <x v="328"/>
    <x v="121"/>
    <x v="160"/>
    <n v="217"/>
    <n v="15"/>
    <n v="0"/>
    <x v="244"/>
    <n v="4"/>
    <s v="caught"/>
    <n v="2"/>
    <x v="5"/>
    <s v="Centurion"/>
    <x v="287"/>
    <x v="2"/>
    <x v="1"/>
    <x v="0"/>
  </r>
  <r>
    <x v="329"/>
    <x v="82"/>
    <x v="161"/>
    <n v="20"/>
    <n v="1"/>
    <n v="0"/>
    <x v="14"/>
    <n v="4"/>
    <s v="lbw"/>
    <n v="4"/>
    <x v="5"/>
    <s v="Centurion"/>
    <x v="287"/>
    <x v="2"/>
    <x v="0"/>
    <x v="0"/>
  </r>
  <r>
    <x v="330"/>
    <x v="24"/>
    <x v="151"/>
    <n v="106"/>
    <n v="9"/>
    <n v="0"/>
    <x v="245"/>
    <n v="4"/>
    <s v="caught"/>
    <n v="1"/>
    <x v="5"/>
    <s v="Johannesburg"/>
    <x v="288"/>
    <x v="2"/>
    <x v="0"/>
    <x v="1"/>
  </r>
  <r>
    <x v="331"/>
    <x v="70"/>
    <x v="102"/>
    <n v="79"/>
    <n v="6"/>
    <n v="0"/>
    <x v="246"/>
    <n v="5"/>
    <s v="bowled"/>
    <n v="3"/>
    <x v="5"/>
    <s v="Johannesburg"/>
    <x v="288"/>
    <x v="2"/>
    <x v="0"/>
    <x v="0"/>
  </r>
  <r>
    <x v="332"/>
    <x v="40"/>
    <x v="162"/>
    <n v="119"/>
    <n v="10"/>
    <n v="0"/>
    <x v="60"/>
    <n v="3"/>
    <s v="caught"/>
    <n v="2"/>
    <x v="5"/>
    <s v="Durban"/>
    <x v="289"/>
    <x v="0"/>
    <x v="1"/>
    <x v="0"/>
  </r>
  <r>
    <x v="333"/>
    <x v="78"/>
    <x v="123"/>
    <n v="50"/>
    <n v="4"/>
    <n v="1"/>
    <x v="247"/>
    <n v="3"/>
    <s v="not out"/>
    <n v="2"/>
    <x v="5"/>
    <s v="Centurion"/>
    <x v="290"/>
    <x v="0"/>
    <x v="0"/>
    <x v="0"/>
  </r>
  <r>
    <x v="334"/>
    <x v="122"/>
    <x v="163"/>
    <n v="159"/>
    <n v="12"/>
    <n v="2"/>
    <x v="248"/>
    <n v="3"/>
    <s v="not out"/>
    <n v="1"/>
    <x v="5"/>
    <s v="Cape Town"/>
    <x v="291"/>
    <x v="0"/>
    <x v="1"/>
    <x v="0"/>
  </r>
  <r>
    <x v="335"/>
    <x v="49"/>
    <x v="108"/>
    <n v="83"/>
    <n v="7"/>
    <n v="1"/>
    <x v="249"/>
    <n v="3"/>
    <s v="caught"/>
    <n v="1"/>
    <x v="5"/>
    <s v="Johannesburg"/>
    <x v="292"/>
    <x v="0"/>
    <x v="0"/>
    <x v="1"/>
  </r>
  <r>
    <x v="336"/>
    <x v="83"/>
    <x v="86"/>
    <n v="54"/>
    <n v="2"/>
    <n v="0"/>
    <x v="5"/>
    <n v="3"/>
    <s v="run out"/>
    <n v="1"/>
    <x v="5"/>
    <s v="Gqeberha"/>
    <x v="293"/>
    <x v="0"/>
    <x v="0"/>
    <x v="0"/>
  </r>
  <r>
    <x v="337"/>
    <x v="123"/>
    <x v="18"/>
    <n v="96"/>
    <n v="19"/>
    <n v="2"/>
    <x v="250"/>
    <n v="3"/>
    <s v="not out"/>
    <n v="2"/>
    <x v="5"/>
    <s v="Centurion"/>
    <x v="294"/>
    <x v="0"/>
    <x v="1"/>
    <x v="0"/>
  </r>
  <r>
    <x v="338"/>
    <x v="18"/>
    <x v="91"/>
    <n v="20"/>
    <n v="2"/>
    <n v="1"/>
    <x v="251"/>
    <n v="4"/>
    <s v="lbw"/>
    <n v="1"/>
    <x v="5"/>
    <s v="Johannesburg"/>
    <x v="295"/>
    <x v="1"/>
    <x v="0"/>
    <x v="0"/>
  </r>
  <r>
    <x v="339"/>
    <x v="29"/>
    <x v="4"/>
    <n v="5"/>
    <n v="0"/>
    <n v="0"/>
    <x v="80"/>
    <n v="4"/>
    <s v="caught"/>
    <n v="1"/>
    <x v="5"/>
    <s v="Centurion"/>
    <x v="296"/>
    <x v="1"/>
    <x v="0"/>
    <x v="0"/>
  </r>
  <r>
    <x v="340"/>
    <x v="15"/>
    <x v="40"/>
    <n v="2"/>
    <n v="0"/>
    <n v="0"/>
    <x v="23"/>
    <n v="6"/>
    <s v="caught"/>
    <n v="1"/>
    <x v="9"/>
    <s v="Dublin (Malahide)"/>
    <x v="297"/>
    <x v="1"/>
    <x v="0"/>
    <x v="0"/>
  </r>
  <r>
    <x v="341"/>
    <x v="11"/>
    <x v="22"/>
    <n v="8"/>
    <n v="1"/>
    <n v="0"/>
    <x v="139"/>
    <n v="2"/>
    <s v="caught"/>
    <n v="1"/>
    <x v="9"/>
    <s v="Dublin (Malahide)"/>
    <x v="298"/>
    <x v="1"/>
    <x v="0"/>
    <x v="0"/>
  </r>
  <r>
    <x v="342"/>
    <x v="45"/>
    <x v="38"/>
    <n v="22"/>
    <n v="0"/>
    <n v="1"/>
    <x v="252"/>
    <n v="4"/>
    <s v="not out"/>
    <n v="2"/>
    <x v="8"/>
    <s v="Manchester"/>
    <x v="299"/>
    <x v="1"/>
    <x v="0"/>
    <x v="0"/>
  </r>
  <r>
    <x v="343"/>
    <x v="124"/>
    <x v="3"/>
    <n v="38"/>
    <n v="1"/>
    <n v="2"/>
    <x v="253"/>
    <n v="4"/>
    <s v="caught"/>
    <n v="1"/>
    <x v="8"/>
    <s v="Cardiff"/>
    <x v="300"/>
    <x v="1"/>
    <x v="0"/>
    <x v="0"/>
  </r>
  <r>
    <x v="344"/>
    <x v="71"/>
    <x v="9"/>
    <n v="29"/>
    <n v="2"/>
    <n v="2"/>
    <x v="254"/>
    <n v="4"/>
    <s v="caught"/>
    <n v="2"/>
    <x v="8"/>
    <s v="Bristol"/>
    <x v="301"/>
    <x v="1"/>
    <x v="0"/>
    <x v="0"/>
  </r>
  <r>
    <x v="345"/>
    <x v="49"/>
    <x v="2"/>
    <n v="82"/>
    <n v="7"/>
    <n v="0"/>
    <x v="255"/>
    <n v="3"/>
    <s v="stumped"/>
    <n v="2"/>
    <x v="8"/>
    <s v="Nottingham"/>
    <x v="302"/>
    <x v="0"/>
    <x v="0"/>
    <x v="1"/>
  </r>
  <r>
    <x v="346"/>
    <x v="99"/>
    <x v="14"/>
    <n v="56"/>
    <n v="2"/>
    <n v="0"/>
    <x v="256"/>
    <n v="3"/>
    <s v="lbw"/>
    <n v="2"/>
    <x v="8"/>
    <s v="Lord's"/>
    <x v="303"/>
    <x v="0"/>
    <x v="0"/>
    <x v="0"/>
  </r>
  <r>
    <x v="347"/>
    <x v="125"/>
    <x v="23"/>
    <n v="72"/>
    <n v="8"/>
    <n v="0"/>
    <x v="257"/>
    <n v="3"/>
    <s v="bowled"/>
    <n v="1"/>
    <x v="8"/>
    <s v="Leeds"/>
    <x v="304"/>
    <x v="0"/>
    <x v="0"/>
    <x v="1"/>
  </r>
  <r>
    <x v="348"/>
    <x v="126"/>
    <x v="164"/>
    <n v="225"/>
    <n v="22"/>
    <n v="1"/>
    <x v="258"/>
    <n v="4"/>
    <s v="caught"/>
    <n v="2"/>
    <x v="8"/>
    <s v="Birmingham"/>
    <x v="305"/>
    <x v="2"/>
    <x v="1"/>
    <x v="0"/>
  </r>
  <r>
    <x v="349"/>
    <x v="63"/>
    <x v="165"/>
    <n v="93"/>
    <n v="4"/>
    <n v="0"/>
    <x v="259"/>
    <n v="4"/>
    <s v="lbw"/>
    <n v="4"/>
    <x v="8"/>
    <s v="Birmingham"/>
    <x v="305"/>
    <x v="2"/>
    <x v="0"/>
    <x v="1"/>
  </r>
  <r>
    <x v="350"/>
    <x v="46"/>
    <x v="131"/>
    <n v="57"/>
    <n v="2"/>
    <n v="0"/>
    <x v="260"/>
    <n v="4"/>
    <s v="caught"/>
    <n v="1"/>
    <x v="8"/>
    <s v="Lord's"/>
    <x v="306"/>
    <x v="2"/>
    <x v="0"/>
    <x v="0"/>
  </r>
  <r>
    <x v="351"/>
    <x v="127"/>
    <x v="21"/>
    <n v="29"/>
    <n v="2"/>
    <n v="0"/>
    <x v="261"/>
    <n v="5"/>
    <s v="caught"/>
    <n v="3"/>
    <x v="8"/>
    <s v="Lord's"/>
    <x v="306"/>
    <x v="2"/>
    <x v="0"/>
    <x v="0"/>
  </r>
  <r>
    <x v="352"/>
    <x v="128"/>
    <x v="166"/>
    <n v="152"/>
    <n v="11"/>
    <n v="0"/>
    <x v="262"/>
    <n v="4"/>
    <s v="caught"/>
    <n v="1"/>
    <x v="8"/>
    <s v="Nottingham"/>
    <x v="307"/>
    <x v="2"/>
    <x v="0"/>
    <x v="1"/>
  </r>
  <r>
    <x v="353"/>
    <x v="62"/>
    <x v="167"/>
    <n v="197"/>
    <n v="10"/>
    <n v="0"/>
    <x v="263"/>
    <n v="4"/>
    <s v="lbw"/>
    <n v="3"/>
    <x v="8"/>
    <s v="Nottingham"/>
    <x v="307"/>
    <x v="2"/>
    <x v="1"/>
    <x v="0"/>
  </r>
  <r>
    <x v="354"/>
    <x v="78"/>
    <x v="10"/>
    <n v="71"/>
    <n v="6"/>
    <n v="0"/>
    <x v="264"/>
    <n v="4"/>
    <s v="caught"/>
    <n v="2"/>
    <x v="8"/>
    <s v="Southampton"/>
    <x v="308"/>
    <x v="2"/>
    <x v="0"/>
    <x v="0"/>
  </r>
  <r>
    <x v="355"/>
    <x v="61"/>
    <x v="168"/>
    <n v="130"/>
    <n v="4"/>
    <n v="0"/>
    <x v="265"/>
    <n v="4"/>
    <s v="caught"/>
    <n v="4"/>
    <x v="8"/>
    <s v="Southampton"/>
    <x v="308"/>
    <x v="2"/>
    <x v="0"/>
    <x v="1"/>
  </r>
  <r>
    <x v="356"/>
    <x v="95"/>
    <x v="169"/>
    <n v="70"/>
    <n v="6"/>
    <n v="0"/>
    <x v="243"/>
    <n v="4"/>
    <s v="caught"/>
    <n v="2"/>
    <x v="8"/>
    <s v="The Oval"/>
    <x v="309"/>
    <x v="2"/>
    <x v="0"/>
    <x v="0"/>
  </r>
  <r>
    <x v="357"/>
    <x v="15"/>
    <x v="16"/>
    <n v="1"/>
    <n v="0"/>
    <n v="0"/>
    <x v="23"/>
    <n v="4"/>
    <s v="caught"/>
    <n v="4"/>
    <x v="8"/>
    <s v="The Oval"/>
    <x v="309"/>
    <x v="2"/>
    <x v="0"/>
    <x v="0"/>
  </r>
  <r>
    <x v="358"/>
    <x v="88"/>
    <x v="170"/>
    <n v="230"/>
    <n v="10"/>
    <n v="0"/>
    <x v="266"/>
    <n v="4"/>
    <s v="caught"/>
    <n v="1"/>
    <x v="2"/>
    <s v="Rajkot"/>
    <x v="310"/>
    <x v="2"/>
    <x v="1"/>
    <x v="0"/>
  </r>
  <r>
    <x v="359"/>
    <x v="99"/>
    <x v="82"/>
    <n v="78"/>
    <n v="5"/>
    <n v="0"/>
    <x v="267"/>
    <n v="4"/>
    <s v="lbw"/>
    <n v="2"/>
    <x v="2"/>
    <s v="Hyderabad"/>
    <x v="311"/>
    <x v="2"/>
    <x v="0"/>
    <x v="0"/>
  </r>
  <r>
    <x v="360"/>
    <x v="129"/>
    <x v="168"/>
    <n v="107"/>
    <n v="21"/>
    <n v="2"/>
    <x v="268"/>
    <n v="3"/>
    <s v="stumped"/>
    <n v="2"/>
    <x v="2"/>
    <s v="Guwahati"/>
    <x v="312"/>
    <x v="0"/>
    <x v="1"/>
    <x v="0"/>
  </r>
  <r>
    <x v="361"/>
    <x v="130"/>
    <x v="171"/>
    <n v="129"/>
    <n v="13"/>
    <n v="4"/>
    <x v="269"/>
    <n v="3"/>
    <s v="not out"/>
    <n v="1"/>
    <x v="2"/>
    <s v="Visakhapatnam"/>
    <x v="313"/>
    <x v="0"/>
    <x v="1"/>
    <x v="0"/>
  </r>
  <r>
    <x v="362"/>
    <x v="10"/>
    <x v="10"/>
    <n v="119"/>
    <n v="10"/>
    <n v="1"/>
    <x v="270"/>
    <n v="3"/>
    <s v="bowled"/>
    <n v="2"/>
    <x v="2"/>
    <s v="Pune"/>
    <x v="314"/>
    <x v="0"/>
    <x v="1"/>
    <x v="0"/>
  </r>
  <r>
    <x v="363"/>
    <x v="5"/>
    <x v="9"/>
    <n v="17"/>
    <n v="2"/>
    <n v="0"/>
    <x v="60"/>
    <n v="3"/>
    <s v="caught"/>
    <n v="1"/>
    <x v="2"/>
    <s v="Brabourne"/>
    <x v="315"/>
    <x v="0"/>
    <x v="0"/>
    <x v="0"/>
  </r>
  <r>
    <x v="364"/>
    <x v="92"/>
    <x v="21"/>
    <n v="29"/>
    <n v="6"/>
    <n v="0"/>
    <x v="271"/>
    <n v="3"/>
    <s v="not out"/>
    <n v="2"/>
    <x v="2"/>
    <s v="Thiruvananthapuram"/>
    <x v="316"/>
    <x v="0"/>
    <x v="0"/>
    <x v="0"/>
  </r>
  <r>
    <x v="365"/>
    <x v="36"/>
    <x v="35"/>
    <n v="8"/>
    <n v="0"/>
    <n v="0"/>
    <x v="20"/>
    <n v="4"/>
    <s v="caught"/>
    <n v="2"/>
    <x v="3"/>
    <s v="Brisbane"/>
    <x v="317"/>
    <x v="1"/>
    <x v="0"/>
    <x v="0"/>
  </r>
  <r>
    <x v="366"/>
    <x v="74"/>
    <x v="2"/>
    <n v="41"/>
    <n v="4"/>
    <n v="2"/>
    <x v="272"/>
    <n v="3"/>
    <s v="not out"/>
    <n v="2"/>
    <x v="3"/>
    <s v="Sydney"/>
    <x v="318"/>
    <x v="1"/>
    <x v="0"/>
    <x v="1"/>
  </r>
  <r>
    <x v="367"/>
    <x v="43"/>
    <x v="80"/>
    <n v="16"/>
    <n v="0"/>
    <n v="0"/>
    <x v="273"/>
    <n v="4"/>
    <s v="caught"/>
    <n v="1"/>
    <x v="3"/>
    <s v="Adelaide"/>
    <x v="319"/>
    <x v="2"/>
    <x v="0"/>
    <x v="0"/>
  </r>
  <r>
    <x v="368"/>
    <x v="28"/>
    <x v="172"/>
    <n v="104"/>
    <n v="3"/>
    <n v="0"/>
    <x v="274"/>
    <n v="4"/>
    <s v="caught"/>
    <n v="3"/>
    <x v="3"/>
    <s v="Adelaide"/>
    <x v="319"/>
    <x v="2"/>
    <x v="0"/>
    <x v="0"/>
  </r>
  <r>
    <x v="369"/>
    <x v="79"/>
    <x v="173"/>
    <n v="257"/>
    <n v="13"/>
    <n v="1"/>
    <x v="275"/>
    <n v="4"/>
    <s v="caught"/>
    <n v="2"/>
    <x v="3"/>
    <s v="Perth"/>
    <x v="320"/>
    <x v="2"/>
    <x v="1"/>
    <x v="0"/>
  </r>
  <r>
    <x v="370"/>
    <x v="16"/>
    <x v="174"/>
    <n v="204"/>
    <n v="9"/>
    <n v="0"/>
    <x v="276"/>
    <n v="4"/>
    <s v="caught"/>
    <n v="1"/>
    <x v="3"/>
    <s v="Melbourne"/>
    <x v="321"/>
    <x v="2"/>
    <x v="0"/>
    <x v="1"/>
  </r>
  <r>
    <x v="371"/>
    <x v="15"/>
    <x v="4"/>
    <n v="4"/>
    <n v="0"/>
    <n v="0"/>
    <x v="23"/>
    <n v="4"/>
    <s v="caught"/>
    <n v="3"/>
    <x v="3"/>
    <s v="Melbourne"/>
    <x v="321"/>
    <x v="2"/>
    <x v="0"/>
    <x v="0"/>
  </r>
  <r>
    <x v="372"/>
    <x v="46"/>
    <x v="14"/>
    <n v="59"/>
    <n v="4"/>
    <n v="0"/>
    <x v="277"/>
    <n v="4"/>
    <s v="caught"/>
    <n v="1"/>
    <x v="3"/>
    <s v="Sydney"/>
    <x v="322"/>
    <x v="2"/>
    <x v="0"/>
    <x v="0"/>
  </r>
  <r>
    <x v="373"/>
    <x v="43"/>
    <x v="27"/>
    <n v="8"/>
    <n v="0"/>
    <n v="0"/>
    <x v="63"/>
    <n v="3"/>
    <s v="caught"/>
    <n v="2"/>
    <x v="3"/>
    <s v="Sydney"/>
    <x v="323"/>
    <x v="0"/>
    <x v="0"/>
    <x v="0"/>
  </r>
  <r>
    <x v="374"/>
    <x v="118"/>
    <x v="175"/>
    <n v="112"/>
    <n v="5"/>
    <n v="2"/>
    <x v="278"/>
    <n v="3"/>
    <s v="caught"/>
    <n v="2"/>
    <x v="3"/>
    <s v="Adelaide"/>
    <x v="324"/>
    <x v="0"/>
    <x v="1"/>
    <x v="0"/>
  </r>
  <r>
    <x v="375"/>
    <x v="78"/>
    <x v="176"/>
    <n v="62"/>
    <n v="3"/>
    <n v="0"/>
    <x v="279"/>
    <n v="3"/>
    <s v="caught"/>
    <n v="2"/>
    <x v="3"/>
    <s v="Melbourne"/>
    <x v="325"/>
    <x v="0"/>
    <x v="0"/>
    <x v="0"/>
  </r>
  <r>
    <x v="376"/>
    <x v="99"/>
    <x v="155"/>
    <n v="59"/>
    <n v="3"/>
    <n v="0"/>
    <x v="280"/>
    <n v="3"/>
    <s v="caught"/>
    <n v="2"/>
    <x v="7"/>
    <s v="Napier"/>
    <x v="326"/>
    <x v="0"/>
    <x v="0"/>
    <x v="0"/>
  </r>
  <r>
    <x v="377"/>
    <x v="71"/>
    <x v="155"/>
    <n v="45"/>
    <n v="5"/>
    <n v="0"/>
    <x v="281"/>
    <n v="3"/>
    <s v="caught"/>
    <n v="1"/>
    <x v="7"/>
    <s v="Mount Maunganui"/>
    <x v="327"/>
    <x v="0"/>
    <x v="0"/>
    <x v="0"/>
  </r>
  <r>
    <x v="378"/>
    <x v="131"/>
    <x v="177"/>
    <n v="74"/>
    <n v="6"/>
    <n v="1"/>
    <x v="282"/>
    <n v="3"/>
    <s v="caught"/>
    <n v="2"/>
    <x v="7"/>
    <s v="Mount Maunganui"/>
    <x v="328"/>
    <x v="0"/>
    <x v="0"/>
    <x v="1"/>
  </r>
  <r>
    <x v="379"/>
    <x v="31"/>
    <x v="15"/>
    <n v="17"/>
    <n v="3"/>
    <n v="0"/>
    <x v="283"/>
    <n v="3"/>
    <s v="caught"/>
    <n v="1"/>
    <x v="3"/>
    <s v="Visakhapatnam"/>
    <x v="329"/>
    <x v="1"/>
    <x v="0"/>
    <x v="0"/>
  </r>
  <r>
    <x v="380"/>
    <x v="84"/>
    <x v="138"/>
    <n v="38"/>
    <n v="2"/>
    <n v="6"/>
    <x v="284"/>
    <n v="3"/>
    <s v="not out"/>
    <n v="1"/>
    <x v="3"/>
    <s v="Bengaluru"/>
    <x v="330"/>
    <x v="1"/>
    <x v="0"/>
    <x v="1"/>
  </r>
  <r>
    <x v="381"/>
    <x v="48"/>
    <x v="52"/>
    <n v="45"/>
    <n v="6"/>
    <n v="1"/>
    <x v="285"/>
    <n v="3"/>
    <s v="lbw"/>
    <n v="2"/>
    <x v="3"/>
    <s v="Hyderabad"/>
    <x v="331"/>
    <x v="0"/>
    <x v="0"/>
    <x v="0"/>
  </r>
  <r>
    <x v="382"/>
    <x v="50"/>
    <x v="71"/>
    <n v="120"/>
    <n v="10"/>
    <n v="0"/>
    <x v="286"/>
    <n v="3"/>
    <s v="caught"/>
    <n v="1"/>
    <x v="3"/>
    <s v="Nagpur"/>
    <x v="332"/>
    <x v="0"/>
    <x v="1"/>
    <x v="0"/>
  </r>
  <r>
    <x v="383"/>
    <x v="79"/>
    <x v="178"/>
    <n v="95"/>
    <n v="16"/>
    <n v="1"/>
    <x v="287"/>
    <n v="3"/>
    <s v="bowled"/>
    <n v="2"/>
    <x v="3"/>
    <s v="Ranchi"/>
    <x v="333"/>
    <x v="0"/>
    <x v="1"/>
    <x v="0"/>
  </r>
  <r>
    <x v="384"/>
    <x v="39"/>
    <x v="93"/>
    <n v="6"/>
    <n v="1"/>
    <n v="0"/>
    <x v="40"/>
    <n v="4"/>
    <s v="caught"/>
    <n v="1"/>
    <x v="3"/>
    <s v="Mohali"/>
    <x v="334"/>
    <x v="0"/>
    <x v="0"/>
    <x v="0"/>
  </r>
  <r>
    <x v="385"/>
    <x v="45"/>
    <x v="9"/>
    <n v="22"/>
    <n v="2"/>
    <n v="0"/>
    <x v="252"/>
    <n v="3"/>
    <s v="caught"/>
    <n v="2"/>
    <x v="3"/>
    <s v="Delhi"/>
    <x v="335"/>
    <x v="0"/>
    <x v="0"/>
    <x v="0"/>
  </r>
  <r>
    <x v="386"/>
    <x v="52"/>
    <x v="63"/>
    <n v="34"/>
    <n v="1"/>
    <n v="0"/>
    <x v="288"/>
    <n v="3"/>
    <s v="caught"/>
    <n v="2"/>
    <x v="5"/>
    <s v="Southampton"/>
    <x v="336"/>
    <x v="0"/>
    <x v="0"/>
    <x v="0"/>
  </r>
  <r>
    <x v="387"/>
    <x v="16"/>
    <x v="13"/>
    <n v="77"/>
    <n v="4"/>
    <n v="2"/>
    <x v="289"/>
    <n v="3"/>
    <s v="caught"/>
    <n v="1"/>
    <x v="3"/>
    <s v="The Oval"/>
    <x v="337"/>
    <x v="0"/>
    <x v="0"/>
    <x v="1"/>
  </r>
  <r>
    <x v="388"/>
    <x v="51"/>
    <x v="179"/>
    <n v="65"/>
    <n v="7"/>
    <n v="0"/>
    <x v="290"/>
    <n v="3"/>
    <s v="caught"/>
    <n v="1"/>
    <x v="1"/>
    <s v="Manchester"/>
    <x v="338"/>
    <x v="0"/>
    <x v="0"/>
    <x v="1"/>
  </r>
  <r>
    <x v="389"/>
    <x v="80"/>
    <x v="179"/>
    <n v="63"/>
    <n v="5"/>
    <n v="0"/>
    <x v="291"/>
    <n v="3"/>
    <s v="caught"/>
    <n v="1"/>
    <x v="11"/>
    <s v="Southampton"/>
    <x v="339"/>
    <x v="0"/>
    <x v="0"/>
    <x v="1"/>
  </r>
  <r>
    <x v="390"/>
    <x v="84"/>
    <x v="151"/>
    <n v="82"/>
    <n v="8"/>
    <n v="0"/>
    <x v="292"/>
    <n v="3"/>
    <s v="caught"/>
    <n v="1"/>
    <x v="2"/>
    <s v="Manchester"/>
    <x v="340"/>
    <x v="0"/>
    <x v="0"/>
    <x v="1"/>
  </r>
  <r>
    <x v="391"/>
    <x v="53"/>
    <x v="180"/>
    <n v="76"/>
    <n v="7"/>
    <n v="0"/>
    <x v="293"/>
    <n v="3"/>
    <s v="caught"/>
    <n v="2"/>
    <x v="8"/>
    <s v="Birmingham"/>
    <x v="341"/>
    <x v="0"/>
    <x v="0"/>
    <x v="1"/>
  </r>
  <r>
    <x v="392"/>
    <x v="18"/>
    <x v="3"/>
    <n v="27"/>
    <n v="3"/>
    <n v="0"/>
    <x v="294"/>
    <n v="3"/>
    <s v="caught"/>
    <n v="1"/>
    <x v="4"/>
    <s v="Birmingham"/>
    <x v="342"/>
    <x v="0"/>
    <x v="0"/>
    <x v="0"/>
  </r>
  <r>
    <x v="393"/>
    <x v="28"/>
    <x v="79"/>
    <n v="41"/>
    <n v="3"/>
    <n v="0"/>
    <x v="210"/>
    <n v="3"/>
    <s v="not out"/>
    <n v="2"/>
    <x v="0"/>
    <s v="Leeds"/>
    <x v="343"/>
    <x v="0"/>
    <x v="0"/>
    <x v="0"/>
  </r>
  <r>
    <x v="394"/>
    <x v="29"/>
    <x v="90"/>
    <n v="6"/>
    <n v="0"/>
    <n v="0"/>
    <x v="295"/>
    <n v="3"/>
    <s v="lbw"/>
    <n v="2"/>
    <x v="7"/>
    <s v="Manchester"/>
    <x v="344"/>
    <x v="0"/>
    <x v="0"/>
    <x v="0"/>
  </r>
  <r>
    <x v="395"/>
    <x v="68"/>
    <x v="14"/>
    <n v="29"/>
    <n v="1"/>
    <n v="0"/>
    <x v="296"/>
    <n v="3"/>
    <s v="caught"/>
    <n v="2"/>
    <x v="2"/>
    <s v="Lauderhill"/>
    <x v="345"/>
    <x v="1"/>
    <x v="0"/>
    <x v="0"/>
  </r>
  <r>
    <x v="396"/>
    <x v="20"/>
    <x v="15"/>
    <n v="23"/>
    <n v="1"/>
    <n v="1"/>
    <x v="297"/>
    <n v="3"/>
    <s v="bowled"/>
    <n v="1"/>
    <x v="2"/>
    <s v="Lauderhill"/>
    <x v="346"/>
    <x v="1"/>
    <x v="0"/>
    <x v="0"/>
  </r>
  <r>
    <x v="397"/>
    <x v="30"/>
    <x v="52"/>
    <n v="45"/>
    <n v="6"/>
    <n v="0"/>
    <x v="298"/>
    <n v="3"/>
    <s v="caught"/>
    <n v="2"/>
    <x v="2"/>
    <s v="Providence"/>
    <x v="347"/>
    <x v="1"/>
    <x v="0"/>
    <x v="1"/>
  </r>
  <r>
    <x v="398"/>
    <x v="132"/>
    <x v="99"/>
    <n v="125"/>
    <n v="14"/>
    <n v="1"/>
    <x v="299"/>
    <n v="3"/>
    <s v="caught"/>
    <n v="1"/>
    <x v="2"/>
    <s v="Port of Spain"/>
    <x v="348"/>
    <x v="0"/>
    <x v="1"/>
    <x v="0"/>
  </r>
  <r>
    <x v="399"/>
    <x v="133"/>
    <x v="181"/>
    <n v="99"/>
    <n v="14"/>
    <n v="0"/>
    <x v="300"/>
    <n v="3"/>
    <s v="not out"/>
    <n v="2"/>
    <x v="2"/>
    <s v="Port of Spain"/>
    <x v="349"/>
    <x v="0"/>
    <x v="1"/>
    <x v="0"/>
  </r>
  <r>
    <x v="400"/>
    <x v="63"/>
    <x v="52"/>
    <n v="113"/>
    <n v="2"/>
    <n v="0"/>
    <x v="301"/>
    <n v="4"/>
    <s v="caught"/>
    <n v="3"/>
    <x v="2"/>
    <s v="North Sound"/>
    <x v="350"/>
    <x v="2"/>
    <x v="0"/>
    <x v="1"/>
  </r>
  <r>
    <x v="401"/>
    <x v="108"/>
    <x v="69"/>
    <n v="163"/>
    <n v="10"/>
    <n v="0"/>
    <x v="302"/>
    <n v="4"/>
    <s v="caught"/>
    <n v="1"/>
    <x v="2"/>
    <s v="Kingston"/>
    <x v="351"/>
    <x v="2"/>
    <x v="0"/>
    <x v="1"/>
  </r>
  <r>
    <x v="402"/>
    <x v="15"/>
    <x v="16"/>
    <n v="1"/>
    <n v="0"/>
    <n v="0"/>
    <x v="23"/>
    <n v="4"/>
    <s v="caught"/>
    <n v="3"/>
    <x v="2"/>
    <s v="Kingston"/>
    <x v="351"/>
    <x v="2"/>
    <x v="0"/>
    <x v="0"/>
  </r>
  <r>
    <x v="403"/>
    <x v="84"/>
    <x v="88"/>
    <n v="52"/>
    <n v="4"/>
    <n v="3"/>
    <x v="303"/>
    <n v="3"/>
    <s v="not out"/>
    <n v="2"/>
    <x v="5"/>
    <s v="Mohali"/>
    <x v="352"/>
    <x v="1"/>
    <x v="0"/>
    <x v="1"/>
  </r>
  <r>
    <x v="404"/>
    <x v="11"/>
    <x v="5"/>
    <n v="15"/>
    <n v="0"/>
    <n v="0"/>
    <x v="36"/>
    <n v="3"/>
    <s v="caught"/>
    <n v="1"/>
    <x v="5"/>
    <s v="Bengaluru"/>
    <x v="353"/>
    <x v="1"/>
    <x v="0"/>
    <x v="0"/>
  </r>
  <r>
    <x v="405"/>
    <x v="45"/>
    <x v="19"/>
    <n v="40"/>
    <n v="4"/>
    <n v="0"/>
    <x v="20"/>
    <n v="4"/>
    <s v="caught"/>
    <n v="1"/>
    <x v="5"/>
    <s v="Visakhapatnam"/>
    <x v="354"/>
    <x v="2"/>
    <x v="0"/>
    <x v="0"/>
  </r>
  <r>
    <x v="406"/>
    <x v="3"/>
    <x v="9"/>
    <n v="25"/>
    <n v="3"/>
    <n v="1"/>
    <x v="304"/>
    <n v="5"/>
    <s v="not out"/>
    <n v="3"/>
    <x v="5"/>
    <s v="Visakhapatnam"/>
    <x v="354"/>
    <x v="2"/>
    <x v="0"/>
    <x v="0"/>
  </r>
  <r>
    <x v="407"/>
    <x v="134"/>
    <x v="182"/>
    <n v="336"/>
    <n v="33"/>
    <n v="2"/>
    <x v="305"/>
    <n v="4"/>
    <s v="not out"/>
    <n v="1"/>
    <x v="5"/>
    <s v="Pune"/>
    <x v="355"/>
    <x v="2"/>
    <x v="1"/>
    <x v="0"/>
  </r>
  <r>
    <x v="408"/>
    <x v="0"/>
    <x v="38"/>
    <n v="22"/>
    <n v="2"/>
    <n v="0"/>
    <x v="0"/>
    <n v="4"/>
    <s v="lbw"/>
    <n v="1"/>
    <x v="5"/>
    <s v="Ranchi"/>
    <x v="356"/>
    <x v="2"/>
    <x v="0"/>
    <x v="0"/>
  </r>
  <r>
    <x v="409"/>
    <x v="15"/>
    <x v="40"/>
    <n v="2"/>
    <n v="0"/>
    <n v="0"/>
    <x v="23"/>
    <n v="4"/>
    <s v="lbw"/>
    <n v="2"/>
    <x v="4"/>
    <s v="Indore"/>
    <x v="357"/>
    <x v="2"/>
    <x v="0"/>
    <x v="0"/>
  </r>
  <r>
    <x v="410"/>
    <x v="81"/>
    <x v="152"/>
    <n v="194"/>
    <n v="18"/>
    <n v="0"/>
    <x v="306"/>
    <n v="4"/>
    <s v="caught"/>
    <n v="2"/>
    <x v="4"/>
    <s v="Eden Gardens"/>
    <x v="358"/>
    <x v="2"/>
    <x v="1"/>
    <x v="0"/>
  </r>
  <r>
    <x v="411"/>
    <x v="35"/>
    <x v="2"/>
    <n v="50"/>
    <n v="6"/>
    <n v="6"/>
    <x v="307"/>
    <n v="3"/>
    <s v="not out"/>
    <n v="2"/>
    <x v="2"/>
    <s v="Hyderabad"/>
    <x v="359"/>
    <x v="1"/>
    <x v="0"/>
    <x v="1"/>
  </r>
  <r>
    <x v="412"/>
    <x v="68"/>
    <x v="38"/>
    <n v="17"/>
    <n v="2"/>
    <n v="0"/>
    <x v="308"/>
    <n v="4"/>
    <s v="caught"/>
    <n v="1"/>
    <x v="2"/>
    <s v="Thiruvananthapuram"/>
    <x v="360"/>
    <x v="1"/>
    <x v="0"/>
    <x v="0"/>
  </r>
  <r>
    <x v="413"/>
    <x v="64"/>
    <x v="15"/>
    <n v="29"/>
    <n v="4"/>
    <n v="7"/>
    <x v="309"/>
    <n v="4"/>
    <s v="not out"/>
    <n v="1"/>
    <x v="2"/>
    <s v="Wankhede"/>
    <x v="361"/>
    <x v="1"/>
    <x v="0"/>
    <x v="1"/>
  </r>
  <r>
    <x v="414"/>
    <x v="36"/>
    <x v="35"/>
    <n v="4"/>
    <n v="1"/>
    <n v="0"/>
    <x v="4"/>
    <n v="3"/>
    <s v="bowled"/>
    <n v="1"/>
    <x v="2"/>
    <s v="Chennai"/>
    <x v="362"/>
    <x v="0"/>
    <x v="0"/>
    <x v="0"/>
  </r>
  <r>
    <x v="415"/>
    <x v="15"/>
    <x v="40"/>
    <n v="1"/>
    <n v="0"/>
    <n v="0"/>
    <x v="23"/>
    <n v="3"/>
    <s v="caught"/>
    <n v="1"/>
    <x v="2"/>
    <s v="Visakhapatnam"/>
    <x v="363"/>
    <x v="0"/>
    <x v="0"/>
    <x v="0"/>
  </r>
  <r>
    <x v="416"/>
    <x v="101"/>
    <x v="78"/>
    <n v="81"/>
    <n v="9"/>
    <n v="0"/>
    <x v="196"/>
    <n v="3"/>
    <s v="bowled"/>
    <n v="2"/>
    <x v="2"/>
    <s v="Cuttack"/>
    <x v="364"/>
    <x v="0"/>
    <x v="0"/>
    <x v="1"/>
  </r>
  <r>
    <x v="417"/>
    <x v="7"/>
    <x v="15"/>
    <n v="17"/>
    <n v="1"/>
    <n v="2"/>
    <x v="310"/>
    <n v="4"/>
    <s v="not out"/>
    <n v="2"/>
    <x v="0"/>
    <s v="Indore"/>
    <x v="365"/>
    <x v="1"/>
    <x v="0"/>
    <x v="0"/>
  </r>
  <r>
    <x v="418"/>
    <x v="18"/>
    <x v="38"/>
    <n v="17"/>
    <n v="2"/>
    <n v="1"/>
    <x v="311"/>
    <n v="6"/>
    <s v="run out"/>
    <n v="1"/>
    <x v="0"/>
    <s v="Pune"/>
    <x v="366"/>
    <x v="1"/>
    <x v="0"/>
    <x v="0"/>
  </r>
  <r>
    <x v="419"/>
    <x v="5"/>
    <x v="11"/>
    <n v="14"/>
    <n v="0"/>
    <n v="1"/>
    <x v="53"/>
    <n v="4"/>
    <s v="caught"/>
    <n v="1"/>
    <x v="3"/>
    <s v="Wankhede"/>
    <x v="367"/>
    <x v="0"/>
    <x v="0"/>
    <x v="0"/>
  </r>
  <r>
    <x v="420"/>
    <x v="67"/>
    <x v="3"/>
    <n v="76"/>
    <n v="6"/>
    <n v="0"/>
    <x v="312"/>
    <n v="3"/>
    <s v="caught"/>
    <n v="1"/>
    <x v="3"/>
    <s v="Rajkot"/>
    <x v="368"/>
    <x v="0"/>
    <x v="0"/>
    <x v="1"/>
  </r>
  <r>
    <x v="421"/>
    <x v="97"/>
    <x v="52"/>
    <n v="91"/>
    <n v="8"/>
    <n v="0"/>
    <x v="313"/>
    <n v="3"/>
    <s v="bowled"/>
    <n v="2"/>
    <x v="3"/>
    <s v="Bengaluru"/>
    <x v="369"/>
    <x v="0"/>
    <x v="0"/>
    <x v="1"/>
  </r>
  <r>
    <x v="422"/>
    <x v="99"/>
    <x v="14"/>
    <n v="32"/>
    <n v="3"/>
    <n v="1"/>
    <x v="314"/>
    <n v="3"/>
    <s v="caught"/>
    <n v="2"/>
    <x v="7"/>
    <s v="Auckland"/>
    <x v="370"/>
    <x v="1"/>
    <x v="0"/>
    <x v="0"/>
  </r>
  <r>
    <x v="423"/>
    <x v="19"/>
    <x v="53"/>
    <n v="12"/>
    <n v="1"/>
    <n v="0"/>
    <x v="164"/>
    <n v="3"/>
    <s v="caught"/>
    <n v="2"/>
    <x v="7"/>
    <s v="Auckland"/>
    <x v="371"/>
    <x v="1"/>
    <x v="0"/>
    <x v="0"/>
  </r>
  <r>
    <x v="424"/>
    <x v="59"/>
    <x v="81"/>
    <n v="27"/>
    <n v="2"/>
    <n v="1"/>
    <x v="315"/>
    <n v="4"/>
    <s v="caught"/>
    <n v="1"/>
    <x v="7"/>
    <s v="Hamilton"/>
    <x v="372"/>
    <x v="1"/>
    <x v="0"/>
    <x v="0"/>
  </r>
  <r>
    <x v="425"/>
    <x v="19"/>
    <x v="34"/>
    <n v="9"/>
    <n v="2"/>
    <n v="0"/>
    <x v="110"/>
    <n v="3"/>
    <s v="caught"/>
    <n v="1"/>
    <x v="7"/>
    <s v="Wellington"/>
    <x v="373"/>
    <x v="1"/>
    <x v="0"/>
    <x v="0"/>
  </r>
  <r>
    <x v="426"/>
    <x v="63"/>
    <x v="183"/>
    <n v="63"/>
    <n v="6"/>
    <n v="0"/>
    <x v="316"/>
    <n v="3"/>
    <s v="bowled"/>
    <n v="1"/>
    <x v="7"/>
    <s v="Hamilton"/>
    <x v="374"/>
    <x v="0"/>
    <x v="0"/>
    <x v="1"/>
  </r>
  <r>
    <x v="427"/>
    <x v="37"/>
    <x v="81"/>
    <n v="25"/>
    <n v="1"/>
    <n v="0"/>
    <x v="36"/>
    <n v="3"/>
    <s v="bowled"/>
    <n v="2"/>
    <x v="7"/>
    <s v="Auckland"/>
    <x v="375"/>
    <x v="0"/>
    <x v="0"/>
    <x v="0"/>
  </r>
  <r>
    <x v="428"/>
    <x v="11"/>
    <x v="9"/>
    <n v="12"/>
    <n v="0"/>
    <n v="1"/>
    <x v="11"/>
    <n v="3"/>
    <s v="caught"/>
    <n v="1"/>
    <x v="7"/>
    <s v="Mount Maunganui"/>
    <x v="376"/>
    <x v="0"/>
    <x v="0"/>
    <x v="0"/>
  </r>
  <r>
    <x v="429"/>
    <x v="4"/>
    <x v="46"/>
    <n v="7"/>
    <n v="0"/>
    <n v="0"/>
    <x v="317"/>
    <n v="4"/>
    <s v="caught"/>
    <n v="1"/>
    <x v="7"/>
    <s v="Wellington"/>
    <x v="377"/>
    <x v="2"/>
    <x v="0"/>
    <x v="0"/>
  </r>
  <r>
    <x v="430"/>
    <x v="68"/>
    <x v="79"/>
    <n v="43"/>
    <n v="3"/>
    <n v="0"/>
    <x v="318"/>
    <n v="4"/>
    <s v="caught"/>
    <n v="3"/>
    <x v="7"/>
    <s v="Wellington"/>
    <x v="377"/>
    <x v="2"/>
    <x v="0"/>
    <x v="0"/>
  </r>
  <r>
    <x v="431"/>
    <x v="43"/>
    <x v="105"/>
    <n v="15"/>
    <n v="0"/>
    <n v="0"/>
    <x v="80"/>
    <n v="4"/>
    <s v="lbw"/>
    <n v="1"/>
    <x v="7"/>
    <s v="Christchurch"/>
    <x v="378"/>
    <x v="2"/>
    <x v="0"/>
    <x v="0"/>
  </r>
  <r>
    <x v="432"/>
    <x v="33"/>
    <x v="2"/>
    <n v="30"/>
    <n v="3"/>
    <n v="0"/>
    <x v="319"/>
    <n v="4"/>
    <s v="lbw"/>
    <n v="3"/>
    <x v="7"/>
    <s v="Christchurch"/>
    <x v="378"/>
    <x v="2"/>
    <x v="0"/>
    <x v="0"/>
  </r>
  <r>
    <x v="433"/>
    <x v="54"/>
    <x v="38"/>
    <n v="21"/>
    <n v="2"/>
    <n v="1"/>
    <x v="4"/>
    <n v="3"/>
    <s v="caught"/>
    <n v="2"/>
    <x v="3"/>
    <s v="Sydney"/>
    <x v="379"/>
    <x v="0"/>
    <x v="0"/>
    <x v="0"/>
  </r>
  <r>
    <x v="434"/>
    <x v="97"/>
    <x v="3"/>
    <n v="87"/>
    <n v="7"/>
    <n v="2"/>
    <x v="320"/>
    <n v="3"/>
    <s v="caught"/>
    <n v="2"/>
    <x v="3"/>
    <s v="Sydney"/>
    <x v="380"/>
    <x v="0"/>
    <x v="0"/>
    <x v="1"/>
  </r>
  <r>
    <x v="435"/>
    <x v="23"/>
    <x v="2"/>
    <n v="78"/>
    <n v="5"/>
    <n v="0"/>
    <x v="321"/>
    <n v="3"/>
    <s v="caught"/>
    <n v="1"/>
    <x v="3"/>
    <s v="Canberra"/>
    <x v="381"/>
    <x v="0"/>
    <x v="0"/>
    <x v="1"/>
  </r>
  <r>
    <x v="436"/>
    <x v="11"/>
    <x v="22"/>
    <n v="9"/>
    <n v="1"/>
    <n v="0"/>
    <x v="4"/>
    <n v="3"/>
    <s v="caught"/>
    <n v="1"/>
    <x v="3"/>
    <s v="Canberra"/>
    <x v="382"/>
    <x v="1"/>
    <x v="0"/>
    <x v="0"/>
  </r>
  <r>
    <x v="437"/>
    <x v="66"/>
    <x v="14"/>
    <n v="24"/>
    <n v="2"/>
    <n v="2"/>
    <x v="322"/>
    <n v="3"/>
    <s v="caught"/>
    <n v="2"/>
    <x v="3"/>
    <s v="Sydney"/>
    <x v="383"/>
    <x v="1"/>
    <x v="0"/>
    <x v="0"/>
  </r>
  <r>
    <x v="438"/>
    <x v="101"/>
    <x v="78"/>
    <n v="61"/>
    <n v="4"/>
    <n v="3"/>
    <x v="323"/>
    <n v="3"/>
    <s v="caught"/>
    <n v="2"/>
    <x v="3"/>
    <s v="Sydney"/>
    <x v="384"/>
    <x v="1"/>
    <x v="0"/>
    <x v="1"/>
  </r>
  <r>
    <x v="439"/>
    <x v="135"/>
    <x v="184"/>
    <n v="180"/>
    <n v="8"/>
    <n v="0"/>
    <x v="324"/>
    <n v="4"/>
    <s v="run out"/>
    <n v="1"/>
    <x v="3"/>
    <s v="Adelaide"/>
    <x v="385"/>
    <x v="2"/>
    <x v="0"/>
    <x v="1"/>
  </r>
  <r>
    <x v="440"/>
    <x v="36"/>
    <x v="20"/>
    <n v="8"/>
    <n v="1"/>
    <n v="0"/>
    <x v="20"/>
    <n v="5"/>
    <s v="caught"/>
    <n v="3"/>
    <x v="3"/>
    <s v="Adelaide"/>
    <x v="385"/>
    <x v="2"/>
    <x v="0"/>
    <x v="0"/>
  </r>
  <r>
    <x v="441"/>
    <x v="19"/>
    <x v="37"/>
    <n v="48"/>
    <n v="0"/>
    <n v="0"/>
    <x v="325"/>
    <n v="4"/>
    <s v="caught"/>
    <n v="2"/>
    <x v="8"/>
    <s v="Chennai"/>
    <x v="386"/>
    <x v="2"/>
    <x v="0"/>
    <x v="0"/>
  </r>
  <r>
    <x v="442"/>
    <x v="84"/>
    <x v="185"/>
    <n v="104"/>
    <n v="9"/>
    <n v="0"/>
    <x v="194"/>
    <n v="4"/>
    <s v="bowled"/>
    <n v="4"/>
    <x v="8"/>
    <s v="Chennai"/>
    <x v="386"/>
    <x v="2"/>
    <x v="0"/>
    <x v="1"/>
  </r>
  <r>
    <x v="443"/>
    <x v="15"/>
    <x v="4"/>
    <n v="5"/>
    <n v="0"/>
    <n v="0"/>
    <x v="23"/>
    <n v="4"/>
    <s v="bowled"/>
    <n v="1"/>
    <x v="8"/>
    <s v="Chennai"/>
    <x v="387"/>
    <x v="2"/>
    <x v="0"/>
    <x v="0"/>
  </r>
  <r>
    <x v="444"/>
    <x v="87"/>
    <x v="186"/>
    <n v="149"/>
    <n v="7"/>
    <n v="0"/>
    <x v="326"/>
    <n v="4"/>
    <s v="lbw"/>
    <n v="3"/>
    <x v="8"/>
    <s v="Chennai"/>
    <x v="387"/>
    <x v="2"/>
    <x v="0"/>
    <x v="1"/>
  </r>
  <r>
    <x v="445"/>
    <x v="9"/>
    <x v="135"/>
    <n v="58"/>
    <n v="3"/>
    <n v="0"/>
    <x v="327"/>
    <n v="4"/>
    <s v="bowled"/>
    <n v="2"/>
    <x v="8"/>
    <s v="Ahmedabad"/>
    <x v="388"/>
    <x v="2"/>
    <x v="0"/>
    <x v="0"/>
  </r>
  <r>
    <x v="446"/>
    <x v="15"/>
    <x v="20"/>
    <n v="8"/>
    <n v="0"/>
    <n v="0"/>
    <x v="23"/>
    <n v="4"/>
    <s v="caught"/>
    <n v="2"/>
    <x v="8"/>
    <s v="Ahmedabad"/>
    <x v="389"/>
    <x v="2"/>
    <x v="0"/>
    <x v="0"/>
  </r>
  <r>
    <x v="447"/>
    <x v="15"/>
    <x v="4"/>
    <n v="5"/>
    <n v="0"/>
    <n v="0"/>
    <x v="23"/>
    <n v="3"/>
    <s v="caught"/>
    <n v="1"/>
    <x v="8"/>
    <s v="Ahmedabad"/>
    <x v="390"/>
    <x v="1"/>
    <x v="0"/>
    <x v="0"/>
  </r>
  <r>
    <x v="448"/>
    <x v="136"/>
    <x v="135"/>
    <n v="49"/>
    <n v="5"/>
    <n v="3"/>
    <x v="328"/>
    <n v="3"/>
    <s v="not out"/>
    <n v="2"/>
    <x v="8"/>
    <s v="Ahmedabad"/>
    <x v="391"/>
    <x v="1"/>
    <x v="0"/>
    <x v="1"/>
  </r>
  <r>
    <x v="449"/>
    <x v="51"/>
    <x v="71"/>
    <n v="46"/>
    <n v="8"/>
    <n v="4"/>
    <x v="329"/>
    <n v="4"/>
    <s v="not out"/>
    <n v="1"/>
    <x v="8"/>
    <s v="Ahmedabad"/>
    <x v="392"/>
    <x v="1"/>
    <x v="0"/>
    <x v="1"/>
  </r>
  <r>
    <x v="450"/>
    <x v="29"/>
    <x v="16"/>
    <n v="5"/>
    <n v="0"/>
    <n v="0"/>
    <x v="80"/>
    <n v="4"/>
    <s v="stumped"/>
    <n v="1"/>
    <x v="8"/>
    <s v="Ahmedabad"/>
    <x v="393"/>
    <x v="1"/>
    <x v="0"/>
    <x v="0"/>
  </r>
  <r>
    <x v="451"/>
    <x v="47"/>
    <x v="180"/>
    <n v="52"/>
    <n v="7"/>
    <n v="2"/>
    <x v="330"/>
    <n v="2"/>
    <s v="not out"/>
    <n v="1"/>
    <x v="8"/>
    <s v="Ahmedabad"/>
    <x v="394"/>
    <x v="1"/>
    <x v="0"/>
    <x v="1"/>
  </r>
  <r>
    <x v="452"/>
    <x v="96"/>
    <x v="73"/>
    <n v="60"/>
    <n v="6"/>
    <n v="0"/>
    <x v="331"/>
    <n v="3"/>
    <s v="caught"/>
    <n v="1"/>
    <x v="8"/>
    <s v="Pune"/>
    <x v="395"/>
    <x v="0"/>
    <x v="0"/>
    <x v="1"/>
  </r>
  <r>
    <x v="453"/>
    <x v="53"/>
    <x v="84"/>
    <n v="79"/>
    <n v="3"/>
    <n v="1"/>
    <x v="332"/>
    <n v="3"/>
    <s v="caught"/>
    <n v="1"/>
    <x v="8"/>
    <s v="Pune"/>
    <x v="396"/>
    <x v="0"/>
    <x v="0"/>
    <x v="1"/>
  </r>
  <r>
    <x v="454"/>
    <x v="48"/>
    <x v="187"/>
    <n v="132"/>
    <n v="1"/>
    <n v="0"/>
    <x v="32"/>
    <n v="4"/>
    <s v="lbw"/>
    <n v="1"/>
    <x v="7"/>
    <s v="Southampton"/>
    <x v="397"/>
    <x v="2"/>
    <x v="0"/>
    <x v="0"/>
  </r>
  <r>
    <x v="455"/>
    <x v="86"/>
    <x v="29"/>
    <n v="29"/>
    <n v="0"/>
    <n v="0"/>
    <x v="223"/>
    <n v="4"/>
    <s v="caught"/>
    <n v="3"/>
    <x v="7"/>
    <s v="Southampton"/>
    <x v="397"/>
    <x v="2"/>
    <x v="0"/>
    <x v="0"/>
  </r>
  <r>
    <x v="456"/>
    <x v="15"/>
    <x v="35"/>
    <n v="1"/>
    <n v="0"/>
    <n v="0"/>
    <x v="23"/>
    <n v="4"/>
    <s v="caught"/>
    <n v="2"/>
    <x v="8"/>
    <s v="Nottingham"/>
    <x v="398"/>
    <x v="2"/>
    <x v="0"/>
    <x v="0"/>
  </r>
  <r>
    <x v="457"/>
    <x v="45"/>
    <x v="111"/>
    <n v="31"/>
    <n v="4"/>
    <n v="0"/>
    <x v="333"/>
    <n v="4"/>
    <s v="caught"/>
    <n v="3"/>
    <x v="8"/>
    <s v="Lord's"/>
    <x v="399"/>
    <x v="2"/>
    <x v="0"/>
    <x v="0"/>
  </r>
  <r>
    <x v="458"/>
    <x v="39"/>
    <x v="81"/>
    <n v="17"/>
    <n v="1"/>
    <n v="0"/>
    <x v="101"/>
    <n v="4"/>
    <s v="caught"/>
    <n v="1"/>
    <x v="8"/>
    <s v="Leeds"/>
    <x v="400"/>
    <x v="2"/>
    <x v="0"/>
    <x v="0"/>
  </r>
  <r>
    <x v="459"/>
    <x v="38"/>
    <x v="188"/>
    <n v="125"/>
    <n v="8"/>
    <n v="0"/>
    <x v="334"/>
    <n v="4"/>
    <s v="caught"/>
    <n v="3"/>
    <x v="8"/>
    <s v="Leeds"/>
    <x v="400"/>
    <x v="2"/>
    <x v="0"/>
    <x v="1"/>
  </r>
  <r>
    <x v="460"/>
    <x v="65"/>
    <x v="66"/>
    <n v="96"/>
    <n v="8"/>
    <n v="0"/>
    <x v="335"/>
    <n v="4"/>
    <s v="caught"/>
    <n v="1"/>
    <x v="8"/>
    <s v="The Oval"/>
    <x v="401"/>
    <x v="2"/>
    <x v="0"/>
    <x v="1"/>
  </r>
  <r>
    <x v="461"/>
    <x v="14"/>
    <x v="177"/>
    <n v="49"/>
    <n v="5"/>
    <n v="1"/>
    <x v="336"/>
    <n v="3"/>
    <s v="caught"/>
    <n v="1"/>
    <x v="1"/>
    <s v="Dubai (DICS)"/>
    <x v="402"/>
    <x v="1"/>
    <x v="0"/>
    <x v="1"/>
  </r>
  <r>
    <x v="462"/>
    <x v="11"/>
    <x v="9"/>
    <n v="17"/>
    <n v="0"/>
    <n v="0"/>
    <x v="288"/>
    <n v="4"/>
    <s v="caught"/>
    <n v="1"/>
    <x v="7"/>
    <s v="Dubai (DICS)"/>
    <x v="403"/>
    <x v="1"/>
    <x v="0"/>
    <x v="0"/>
  </r>
  <r>
    <x v="463"/>
    <x v="4"/>
    <x v="95"/>
    <n v="2"/>
    <n v="0"/>
    <n v="0"/>
    <x v="4"/>
    <n v="3"/>
    <s v="not out"/>
    <n v="2"/>
    <x v="13"/>
    <s v="Dubai (DICS)"/>
    <x v="404"/>
    <x v="1"/>
    <x v="0"/>
    <x v="0"/>
  </r>
  <r>
    <x v="464"/>
    <x v="83"/>
    <x v="189"/>
    <n v="84"/>
    <n v="1"/>
    <n v="1"/>
    <x v="39"/>
    <n v="4"/>
    <s v="bowled"/>
    <n v="3"/>
    <x v="7"/>
    <s v="Wankhede"/>
    <x v="405"/>
    <x v="2"/>
    <x v="0"/>
    <x v="0"/>
  </r>
  <r>
    <x v="465"/>
    <x v="32"/>
    <x v="150"/>
    <n v="94"/>
    <n v="4"/>
    <n v="0"/>
    <x v="337"/>
    <n v="4"/>
    <s v="caught"/>
    <n v="1"/>
    <x v="5"/>
    <s v="Centurion"/>
    <x v="406"/>
    <x v="2"/>
    <x v="0"/>
    <x v="0"/>
  </r>
  <r>
    <x v="466"/>
    <x v="52"/>
    <x v="62"/>
    <n v="32"/>
    <n v="4"/>
    <n v="0"/>
    <x v="161"/>
    <n v="5"/>
    <s v="caught"/>
    <n v="3"/>
    <x v="5"/>
    <s v="Centurion"/>
    <x v="406"/>
    <x v="2"/>
    <x v="0"/>
    <x v="0"/>
  </r>
  <r>
    <x v="467"/>
    <x v="6"/>
    <x v="190"/>
    <n v="201"/>
    <n v="12"/>
    <n v="1"/>
    <x v="338"/>
    <n v="4"/>
    <s v="caught"/>
    <n v="1"/>
    <x v="5"/>
    <s v="Cape Town"/>
    <x v="407"/>
    <x v="2"/>
    <x v="0"/>
    <x v="1"/>
  </r>
  <r>
    <x v="468"/>
    <x v="63"/>
    <x v="191"/>
    <n v="63"/>
    <n v="3"/>
    <n v="0"/>
    <x v="316"/>
    <n v="3"/>
    <s v="caught"/>
    <n v="2"/>
    <x v="5"/>
    <s v="Paarl"/>
    <x v="408"/>
    <x v="0"/>
    <x v="0"/>
    <x v="1"/>
  </r>
  <r>
    <x v="469"/>
    <x v="15"/>
    <x v="93"/>
    <n v="5"/>
    <n v="0"/>
    <n v="0"/>
    <x v="23"/>
    <n v="3"/>
    <s v="caught"/>
    <n v="1"/>
    <x v="5"/>
    <s v="Paarl"/>
    <x v="409"/>
    <x v="0"/>
    <x v="0"/>
    <x v="0"/>
  </r>
  <r>
    <x v="470"/>
    <x v="103"/>
    <x v="169"/>
    <n v="84"/>
    <n v="5"/>
    <n v="0"/>
    <x v="339"/>
    <n v="3"/>
    <s v="caught"/>
    <n v="2"/>
    <x v="5"/>
    <s v="Cape Town"/>
    <x v="410"/>
    <x v="0"/>
    <x v="0"/>
    <x v="1"/>
  </r>
  <r>
    <x v="471"/>
    <x v="27"/>
    <x v="4"/>
    <n v="4"/>
    <n v="2"/>
    <n v="0"/>
    <x v="225"/>
    <n v="3"/>
    <s v="caught"/>
    <n v="2"/>
    <x v="2"/>
    <s v="Ahmedabad"/>
    <x v="411"/>
    <x v="0"/>
    <x v="0"/>
    <x v="0"/>
  </r>
  <r>
    <x v="472"/>
    <x v="52"/>
    <x v="51"/>
    <n v="30"/>
    <n v="3"/>
    <n v="0"/>
    <x v="36"/>
    <n v="3"/>
    <s v="caught"/>
    <n v="1"/>
    <x v="2"/>
    <s v="Ahmedabad"/>
    <x v="412"/>
    <x v="0"/>
    <x v="0"/>
    <x v="0"/>
  </r>
  <r>
    <x v="473"/>
    <x v="15"/>
    <x v="35"/>
    <n v="2"/>
    <n v="0"/>
    <n v="0"/>
    <x v="23"/>
    <n v="3"/>
    <s v="caught"/>
    <n v="1"/>
    <x v="2"/>
    <s v="Ahmedabad"/>
    <x v="413"/>
    <x v="0"/>
    <x v="0"/>
    <x v="0"/>
  </r>
  <r>
    <x v="474"/>
    <x v="127"/>
    <x v="15"/>
    <n v="13"/>
    <n v="1"/>
    <n v="0"/>
    <x v="340"/>
    <n v="3"/>
    <s v="caught"/>
    <n v="2"/>
    <x v="2"/>
    <s v="Eden Gardens"/>
    <x v="414"/>
    <x v="1"/>
    <x v="0"/>
    <x v="0"/>
  </r>
  <r>
    <x v="475"/>
    <x v="42"/>
    <x v="21"/>
    <n v="41"/>
    <n v="7"/>
    <n v="1"/>
    <x v="341"/>
    <n v="3"/>
    <s v="bowled"/>
    <n v="1"/>
    <x v="2"/>
    <s v="Eden Gardens"/>
    <x v="415"/>
    <x v="1"/>
    <x v="0"/>
    <x v="1"/>
  </r>
  <r>
    <x v="476"/>
    <x v="99"/>
    <x v="121"/>
    <n v="76"/>
    <n v="5"/>
    <n v="0"/>
    <x v="342"/>
    <n v="4"/>
    <s v="bowled"/>
    <n v="1"/>
    <x v="0"/>
    <s v="Mohali"/>
    <x v="416"/>
    <x v="2"/>
    <x v="0"/>
    <x v="0"/>
  </r>
  <r>
    <x v="477"/>
    <x v="46"/>
    <x v="138"/>
    <n v="48"/>
    <n v="2"/>
    <n v="0"/>
    <x v="343"/>
    <n v="4"/>
    <s v="lbw"/>
    <n v="1"/>
    <x v="0"/>
    <s v="Bengaluru"/>
    <x v="417"/>
    <x v="2"/>
    <x v="0"/>
    <x v="0"/>
  </r>
  <r>
    <x v="478"/>
    <x v="86"/>
    <x v="192"/>
    <n v="16"/>
    <n v="1"/>
    <n v="0"/>
    <x v="344"/>
    <n v="4"/>
    <s v="lbw"/>
    <n v="3"/>
    <x v="0"/>
    <s v="Bengaluru"/>
    <x v="417"/>
    <x v="2"/>
    <x v="0"/>
    <x v="0"/>
  </r>
  <r>
    <x v="479"/>
    <x v="19"/>
    <x v="0"/>
    <n v="19"/>
    <n v="2"/>
    <n v="0"/>
    <x v="345"/>
    <n v="4"/>
    <s v="bowled"/>
    <n v="1"/>
    <x v="8"/>
    <s v="Birmingham"/>
    <x v="418"/>
    <x v="2"/>
    <x v="0"/>
    <x v="0"/>
  </r>
  <r>
    <x v="480"/>
    <x v="45"/>
    <x v="123"/>
    <n v="40"/>
    <n v="4"/>
    <n v="0"/>
    <x v="20"/>
    <n v="4"/>
    <s v="caught"/>
    <n v="3"/>
    <x v="8"/>
    <s v="Birmingham"/>
    <x v="418"/>
    <x v="2"/>
    <x v="0"/>
    <x v="0"/>
  </r>
  <r>
    <x v="481"/>
    <x v="29"/>
    <x v="90"/>
    <n v="3"/>
    <n v="0"/>
    <n v="0"/>
    <x v="32"/>
    <n v="3"/>
    <s v="caught"/>
    <n v="1"/>
    <x v="8"/>
    <s v="Birmingham"/>
    <x v="419"/>
    <x v="1"/>
    <x v="0"/>
    <x v="0"/>
  </r>
  <r>
    <x v="482"/>
    <x v="19"/>
    <x v="90"/>
    <n v="6"/>
    <n v="1"/>
    <n v="1"/>
    <x v="346"/>
    <n v="3"/>
    <s v="caught"/>
    <n v="2"/>
    <x v="8"/>
    <s v="Nottingham"/>
    <x v="420"/>
    <x v="1"/>
    <x v="0"/>
    <x v="0"/>
  </r>
  <r>
    <x v="483"/>
    <x v="5"/>
    <x v="107"/>
    <n v="25"/>
    <n v="3"/>
    <n v="0"/>
    <x v="347"/>
    <n v="3"/>
    <s v="caught"/>
    <n v="2"/>
    <x v="8"/>
    <s v="Lord's"/>
    <x v="421"/>
    <x v="0"/>
    <x v="0"/>
    <x v="0"/>
  </r>
  <r>
    <x v="484"/>
    <x v="127"/>
    <x v="192"/>
    <n v="22"/>
    <n v="3"/>
    <n v="0"/>
    <x v="117"/>
    <n v="3"/>
    <s v="caught"/>
    <n v="2"/>
    <x v="8"/>
    <s v="Manchester"/>
    <x v="422"/>
    <x v="0"/>
    <x v="0"/>
    <x v="0"/>
  </r>
  <r>
    <x v="485"/>
    <x v="32"/>
    <x v="193"/>
    <n v="34"/>
    <n v="3"/>
    <n v="1"/>
    <x v="348"/>
    <n v="3"/>
    <s v="caught"/>
    <n v="2"/>
    <x v="1"/>
    <s v="Dubai (DICS)"/>
    <x v="423"/>
    <x v="1"/>
    <x v="0"/>
    <x v="0"/>
  </r>
  <r>
    <x v="486"/>
    <x v="30"/>
    <x v="132"/>
    <n v="44"/>
    <n v="1"/>
    <n v="3"/>
    <x v="349"/>
    <n v="3"/>
    <s v="not out"/>
    <n v="1"/>
    <x v="14"/>
    <s v="Dubai (DICS)"/>
    <x v="424"/>
    <x v="1"/>
    <x v="0"/>
    <x v="1"/>
  </r>
  <r>
    <x v="487"/>
    <x v="131"/>
    <x v="109"/>
    <n v="44"/>
    <n v="4"/>
    <n v="1"/>
    <x v="350"/>
    <n v="3"/>
    <s v="run out"/>
    <n v="1"/>
    <x v="1"/>
    <s v="Dubai (DICS)"/>
    <x v="425"/>
    <x v="1"/>
    <x v="0"/>
    <x v="1"/>
  </r>
  <r>
    <x v="488"/>
    <x v="15"/>
    <x v="4"/>
    <n v="4"/>
    <n v="0"/>
    <n v="0"/>
    <x v="23"/>
    <n v="3"/>
    <s v="bowled"/>
    <n v="1"/>
    <x v="0"/>
    <s v="Dubai (DICS)"/>
    <x v="426"/>
    <x v="1"/>
    <x v="0"/>
    <x v="0"/>
  </r>
  <r>
    <x v="489"/>
    <x v="106"/>
    <x v="178"/>
    <n v="61"/>
    <n v="12"/>
    <n v="6"/>
    <x v="225"/>
    <n v="2"/>
    <s v="not out"/>
    <n v="1"/>
    <x v="11"/>
    <s v="Dubai (DICS)"/>
    <x v="427"/>
    <x v="1"/>
    <x v="1"/>
    <x v="0"/>
  </r>
  <r>
    <x v="490"/>
    <x v="4"/>
    <x v="33"/>
    <n v="7"/>
    <n v="0"/>
    <n v="0"/>
    <x v="317"/>
    <n v="3"/>
    <s v="caught"/>
    <n v="1"/>
    <x v="3"/>
    <s v="Mohali"/>
    <x v="428"/>
    <x v="1"/>
    <x v="0"/>
    <x v="0"/>
  </r>
  <r>
    <x v="491"/>
    <x v="19"/>
    <x v="9"/>
    <n v="6"/>
    <n v="2"/>
    <n v="0"/>
    <x v="346"/>
    <n v="3"/>
    <s v="bowled"/>
    <n v="2"/>
    <x v="3"/>
    <s v="Nagpur"/>
    <x v="429"/>
    <x v="1"/>
    <x v="0"/>
    <x v="0"/>
  </r>
  <r>
    <x v="492"/>
    <x v="23"/>
    <x v="159"/>
    <n v="48"/>
    <n v="3"/>
    <n v="4"/>
    <x v="351"/>
    <n v="3"/>
    <s v="caught"/>
    <n v="2"/>
    <x v="3"/>
    <s v="Hyderabad"/>
    <x v="430"/>
    <x v="1"/>
    <x v="0"/>
    <x v="1"/>
  </r>
  <r>
    <x v="493"/>
    <x v="43"/>
    <x v="11"/>
    <n v="9"/>
    <n v="0"/>
    <n v="0"/>
    <x v="32"/>
    <n v="3"/>
    <s v="caught"/>
    <n v="2"/>
    <x v="5"/>
    <s v="Thiruvananthapuram"/>
    <x v="431"/>
    <x v="1"/>
    <x v="0"/>
    <x v="0"/>
  </r>
  <r>
    <x v="494"/>
    <x v="95"/>
    <x v="194"/>
    <n v="28"/>
    <n v="7"/>
    <n v="1"/>
    <x v="352"/>
    <n v="3"/>
    <s v="not out"/>
    <n v="1"/>
    <x v="5"/>
    <s v="Guwahati"/>
    <x v="432"/>
    <x v="1"/>
    <x v="0"/>
    <x v="0"/>
  </r>
  <r>
    <x v="495"/>
    <x v="16"/>
    <x v="23"/>
    <n v="53"/>
    <n v="6"/>
    <n v="4"/>
    <x v="353"/>
    <n v="3"/>
    <s v="not out"/>
    <n v="2"/>
    <x v="1"/>
    <s v="Melbourne"/>
    <x v="433"/>
    <x v="1"/>
    <x v="0"/>
    <x v="1"/>
  </r>
  <r>
    <x v="496"/>
    <x v="87"/>
    <x v="191"/>
    <n v="44"/>
    <n v="3"/>
    <n v="2"/>
    <x v="354"/>
    <n v="3"/>
    <s v="not out"/>
    <n v="1"/>
    <x v="10"/>
    <s v="Sydney"/>
    <x v="434"/>
    <x v="1"/>
    <x v="0"/>
    <x v="1"/>
  </r>
  <r>
    <x v="497"/>
    <x v="0"/>
    <x v="20"/>
    <n v="11"/>
    <n v="2"/>
    <n v="0"/>
    <x v="355"/>
    <n v="3"/>
    <s v="caught"/>
    <n v="1"/>
    <x v="5"/>
    <s v="Perth"/>
    <x v="435"/>
    <x v="1"/>
    <x v="0"/>
    <x v="0"/>
  </r>
  <r>
    <x v="498"/>
    <x v="137"/>
    <x v="133"/>
    <n v="44"/>
    <n v="8"/>
    <n v="1"/>
    <x v="356"/>
    <n v="3"/>
    <s v="not out"/>
    <n v="1"/>
    <x v="4"/>
    <s v="Adelaide"/>
    <x v="436"/>
    <x v="1"/>
    <x v="0"/>
    <x v="1"/>
  </r>
  <r>
    <x v="499"/>
    <x v="18"/>
    <x v="65"/>
    <n v="25"/>
    <n v="2"/>
    <n v="0"/>
    <x v="357"/>
    <n v="3"/>
    <s v="caught"/>
    <n v="1"/>
    <x v="6"/>
    <s v="Melbourne"/>
    <x v="437"/>
    <x v="1"/>
    <x v="0"/>
    <x v="0"/>
  </r>
  <r>
    <x v="500"/>
    <x v="65"/>
    <x v="106"/>
    <n v="40"/>
    <n v="4"/>
    <n v="1"/>
    <x v="90"/>
    <n v="3"/>
    <s v="caught"/>
    <n v="1"/>
    <x v="8"/>
    <s v="Adelaide"/>
    <x v="438"/>
    <x v="1"/>
    <x v="0"/>
    <x v="1"/>
  </r>
  <r>
    <x v="501"/>
    <x v="11"/>
    <x v="161"/>
    <n v="15"/>
    <n v="1"/>
    <n v="0"/>
    <x v="36"/>
    <n v="3"/>
    <s v="caught"/>
    <n v="1"/>
    <x v="4"/>
    <s v="Mirpur"/>
    <x v="439"/>
    <x v="0"/>
    <x v="0"/>
    <x v="0"/>
  </r>
  <r>
    <x v="502"/>
    <x v="82"/>
    <x v="46"/>
    <n v="6"/>
    <n v="1"/>
    <n v="0"/>
    <x v="358"/>
    <n v="1"/>
    <s v="bowled"/>
    <n v="2"/>
    <x v="4"/>
    <s v="Mirpur"/>
    <x v="440"/>
    <x v="0"/>
    <x v="0"/>
    <x v="0"/>
  </r>
  <r>
    <x v="503"/>
    <x v="117"/>
    <x v="134"/>
    <n v="91"/>
    <n v="11"/>
    <n v="2"/>
    <x v="359"/>
    <n v="3"/>
    <s v="caught"/>
    <n v="1"/>
    <x v="4"/>
    <s v="Chattogram"/>
    <x v="441"/>
    <x v="0"/>
    <x v="1"/>
    <x v="0"/>
  </r>
  <r>
    <x v="504"/>
    <x v="29"/>
    <x v="90"/>
    <n v="5"/>
    <n v="0"/>
    <n v="0"/>
    <x v="80"/>
    <n v="4"/>
    <s v="lbw"/>
    <n v="1"/>
    <x v="4"/>
    <s v="Chattogram"/>
    <x v="442"/>
    <x v="2"/>
    <x v="0"/>
    <x v="0"/>
  </r>
  <r>
    <x v="505"/>
    <x v="68"/>
    <x v="2"/>
    <n v="29"/>
    <n v="0"/>
    <n v="0"/>
    <x v="296"/>
    <n v="4"/>
    <s v="not out"/>
    <n v="3"/>
    <x v="4"/>
    <s v="Chattogram"/>
    <x v="442"/>
    <x v="2"/>
    <x v="0"/>
    <x v="0"/>
  </r>
  <r>
    <x v="506"/>
    <x v="31"/>
    <x v="195"/>
    <n v="73"/>
    <n v="3"/>
    <n v="0"/>
    <x v="360"/>
    <n v="4"/>
    <s v="caught"/>
    <n v="2"/>
    <x v="4"/>
    <s v="Mirpur"/>
    <x v="443"/>
    <x v="2"/>
    <x v="0"/>
    <x v="0"/>
  </r>
  <r>
    <x v="507"/>
    <x v="29"/>
    <x v="9"/>
    <n v="22"/>
    <n v="0"/>
    <n v="0"/>
    <x v="361"/>
    <n v="5"/>
    <s v="caught"/>
    <n v="4"/>
    <x v="4"/>
    <s v="Mirpur"/>
    <x v="443"/>
    <x v="2"/>
    <x v="0"/>
    <x v="0"/>
  </r>
  <r>
    <x v="508"/>
    <x v="117"/>
    <x v="196"/>
    <n v="87"/>
    <n v="12"/>
    <n v="1"/>
    <x v="362"/>
    <n v="3"/>
    <s v="caught"/>
    <n v="1"/>
    <x v="0"/>
    <s v="Guwahati"/>
    <x v="444"/>
    <x v="0"/>
    <x v="1"/>
    <x v="0"/>
  </r>
  <r>
    <x v="509"/>
    <x v="36"/>
    <x v="192"/>
    <n v="9"/>
    <n v="1"/>
    <n v="0"/>
    <x v="50"/>
    <n v="3"/>
    <s v="bowled"/>
    <n v="2"/>
    <x v="0"/>
    <s v="Eden Gardens"/>
    <x v="445"/>
    <x v="0"/>
    <x v="0"/>
    <x v="0"/>
  </r>
  <r>
    <x v="510"/>
    <x v="138"/>
    <x v="188"/>
    <n v="110"/>
    <n v="13"/>
    <n v="8"/>
    <x v="363"/>
    <n v="3"/>
    <s v="not out"/>
    <n v="1"/>
    <x v="0"/>
    <s v="Thiruvananthapuram"/>
    <x v="446"/>
    <x v="0"/>
    <x v="1"/>
    <x v="0"/>
  </r>
  <r>
    <x v="511"/>
    <x v="27"/>
    <x v="34"/>
    <n v="10"/>
    <n v="1"/>
    <n v="0"/>
    <x v="47"/>
    <n v="3"/>
    <s v="bowled"/>
    <n v="1"/>
    <x v="7"/>
    <s v="Hyderabad"/>
    <x v="447"/>
    <x v="0"/>
    <x v="0"/>
    <x v="0"/>
  </r>
  <r>
    <x v="512"/>
    <x v="19"/>
    <x v="11"/>
    <n v="9"/>
    <n v="2"/>
    <n v="0"/>
    <x v="110"/>
    <n v="3"/>
    <s v="stumped"/>
    <n v="2"/>
    <x v="7"/>
    <s v="Raipur"/>
    <x v="448"/>
    <x v="0"/>
    <x v="0"/>
    <x v="0"/>
  </r>
  <r>
    <x v="513"/>
    <x v="83"/>
    <x v="63"/>
    <n v="27"/>
    <n v="3"/>
    <n v="1"/>
    <x v="364"/>
    <n v="3"/>
    <s v="caught"/>
    <n v="1"/>
    <x v="7"/>
    <s v="Indore"/>
    <x v="449"/>
    <x v="0"/>
    <x v="0"/>
    <x v="0"/>
  </r>
  <r>
    <x v="514"/>
    <x v="0"/>
    <x v="192"/>
    <n v="26"/>
    <n v="2"/>
    <n v="0"/>
    <x v="365"/>
    <n v="5"/>
    <s v="caught"/>
    <n v="2"/>
    <x v="3"/>
    <s v="Nagpur"/>
    <x v="450"/>
    <x v="2"/>
    <x v="0"/>
    <x v="0"/>
  </r>
  <r>
    <x v="515"/>
    <x v="48"/>
    <x v="181"/>
    <n v="84"/>
    <n v="4"/>
    <n v="0"/>
    <x v="61"/>
    <n v="4"/>
    <s v="lbw"/>
    <n v="2"/>
    <x v="3"/>
    <s v="Delhi"/>
    <x v="451"/>
    <x v="2"/>
    <x v="0"/>
    <x v="0"/>
  </r>
  <r>
    <x v="516"/>
    <x v="45"/>
    <x v="193"/>
    <n v="31"/>
    <n v="3"/>
    <n v="0"/>
    <x v="333"/>
    <n v="4"/>
    <s v="stumped"/>
    <n v="4"/>
    <x v="3"/>
    <s v="Delhi"/>
    <x v="451"/>
    <x v="2"/>
    <x v="0"/>
    <x v="0"/>
  </r>
  <r>
    <x v="517"/>
    <x v="25"/>
    <x v="123"/>
    <n v="52"/>
    <n v="2"/>
    <n v="0"/>
    <x v="366"/>
    <n v="4"/>
    <s v="lbw"/>
    <n v="1"/>
    <x v="3"/>
    <s v="Indore"/>
    <x v="452"/>
    <x v="2"/>
    <x v="0"/>
    <x v="0"/>
  </r>
  <r>
    <x v="518"/>
    <x v="86"/>
    <x v="19"/>
    <n v="26"/>
    <n v="2"/>
    <n v="0"/>
    <x v="20"/>
    <n v="4"/>
    <s v="lbw"/>
    <n v="3"/>
    <x v="3"/>
    <s v="Indore"/>
    <x v="452"/>
    <x v="2"/>
    <x v="0"/>
    <x v="0"/>
  </r>
  <r>
    <x v="519"/>
    <x v="139"/>
    <x v="197"/>
    <n v="364"/>
    <n v="15"/>
    <n v="0"/>
    <x v="367"/>
    <n v="4"/>
    <s v="caught"/>
    <n v="2"/>
    <x v="3"/>
    <s v="Ahmedabad"/>
    <x v="453"/>
    <x v="2"/>
    <x v="1"/>
    <x v="0"/>
  </r>
  <r>
    <x v="520"/>
    <x v="36"/>
    <x v="38"/>
    <n v="9"/>
    <n v="1"/>
    <n v="0"/>
    <x v="50"/>
    <n v="3"/>
    <s v="lbw"/>
    <n v="2"/>
    <x v="3"/>
    <s v="Wankhede"/>
    <x v="454"/>
    <x v="0"/>
    <x v="0"/>
    <x v="0"/>
  </r>
  <r>
    <x v="521"/>
    <x v="3"/>
    <x v="191"/>
    <n v="35"/>
    <n v="4"/>
    <n v="0"/>
    <x v="127"/>
    <n v="3"/>
    <s v="lbw"/>
    <n v="1"/>
    <x v="3"/>
    <s v="Visakhapatnam"/>
    <x v="455"/>
    <x v="0"/>
    <x v="0"/>
    <x v="0"/>
  </r>
  <r>
    <x v="522"/>
    <x v="24"/>
    <x v="39"/>
    <n v="72"/>
    <n v="2"/>
    <n v="1"/>
    <x v="11"/>
    <n v="3"/>
    <s v="caught"/>
    <n v="2"/>
    <x v="3"/>
    <s v="Chennai"/>
    <x v="456"/>
    <x v="0"/>
    <x v="0"/>
    <x v="1"/>
  </r>
  <r>
    <x v="523"/>
    <x v="33"/>
    <x v="194"/>
    <n v="31"/>
    <n v="2"/>
    <n v="0"/>
    <x v="368"/>
    <n v="4"/>
    <s v="caught"/>
    <n v="2"/>
    <x v="3"/>
    <s v="The Oval"/>
    <x v="457"/>
    <x v="2"/>
    <x v="0"/>
    <x v="0"/>
  </r>
  <r>
    <x v="524"/>
    <x v="95"/>
    <x v="198"/>
    <n v="78"/>
    <n v="7"/>
    <n v="0"/>
    <x v="369"/>
    <n v="4"/>
    <s v="caught"/>
    <n v="4"/>
    <x v="3"/>
    <s v="The Oval"/>
    <x v="457"/>
    <x v="2"/>
    <x v="0"/>
    <x v="0"/>
  </r>
  <r>
    <x v="525"/>
    <x v="108"/>
    <x v="199"/>
    <n v="182"/>
    <n v="5"/>
    <n v="0"/>
    <x v="370"/>
    <n v="4"/>
    <s v="caught"/>
    <n v="2"/>
    <x v="2"/>
    <s v="Roseau"/>
    <x v="458"/>
    <x v="2"/>
    <x v="0"/>
    <x v="1"/>
  </r>
  <r>
    <x v="526"/>
    <x v="116"/>
    <x v="200"/>
    <n v="206"/>
    <n v="11"/>
    <n v="0"/>
    <x v="52"/>
    <n v="4"/>
    <s v="run out"/>
    <n v="1"/>
    <x v="2"/>
    <s v="Port of Spain"/>
    <x v="459"/>
    <x v="2"/>
    <x v="1"/>
    <x v="0"/>
  </r>
  <r>
    <x v="527"/>
    <x v="36"/>
    <x v="90"/>
    <n v="7"/>
    <n v="1"/>
    <n v="0"/>
    <x v="371"/>
    <n v="3"/>
    <s v="bowled"/>
    <n v="1"/>
    <x v="1"/>
    <s v="Pallekele"/>
    <x v="460"/>
    <x v="0"/>
    <x v="0"/>
    <x v="0"/>
  </r>
  <r>
    <x v="528"/>
    <x v="106"/>
    <x v="147"/>
    <n v="94"/>
    <n v="9"/>
    <n v="3"/>
    <x v="372"/>
    <n v="3"/>
    <s v="not out"/>
    <n v="1"/>
    <x v="1"/>
    <s v="Colombo (RPS)"/>
    <x v="461"/>
    <x v="0"/>
    <x v="1"/>
    <x v="0"/>
  </r>
  <r>
    <x v="529"/>
    <x v="43"/>
    <x v="33"/>
    <n v="12"/>
    <n v="0"/>
    <n v="0"/>
    <x v="14"/>
    <n v="3"/>
    <s v="caught"/>
    <n v="1"/>
    <x v="0"/>
    <s v="Colombo (RPS)"/>
    <x v="462"/>
    <x v="0"/>
    <x v="0"/>
    <x v="0"/>
  </r>
  <r>
    <x v="530"/>
    <x v="96"/>
    <x v="138"/>
    <n v="61"/>
    <n v="5"/>
    <n v="1"/>
    <x v="373"/>
    <n v="3"/>
    <s v="caught"/>
    <n v="2"/>
    <x v="3"/>
    <s v="Rajkot"/>
    <x v="463"/>
    <x v="0"/>
    <x v="0"/>
    <x v="1"/>
  </r>
  <r>
    <x v="531"/>
    <x v="101"/>
    <x v="201"/>
    <n v="116"/>
    <n v="6"/>
    <n v="0"/>
    <x v="374"/>
    <n v="3"/>
    <s v="caught"/>
    <n v="2"/>
    <x v="3"/>
    <s v="Chennai"/>
    <x v="464"/>
    <x v="0"/>
    <x v="0"/>
    <x v="1"/>
  </r>
  <r>
    <x v="532"/>
    <x v="38"/>
    <x v="123"/>
    <n v="56"/>
    <n v="6"/>
    <n v="0"/>
    <x v="375"/>
    <n v="3"/>
    <s v="not out"/>
    <n v="2"/>
    <x v="11"/>
    <s v="Delhi"/>
    <x v="465"/>
    <x v="0"/>
    <x v="0"/>
    <x v="1"/>
  </r>
  <r>
    <x v="533"/>
    <x v="5"/>
    <x v="81"/>
    <n v="18"/>
    <n v="3"/>
    <n v="0"/>
    <x v="376"/>
    <n v="3"/>
    <s v="caught"/>
    <n v="2"/>
    <x v="1"/>
    <s v="Ahmedabad"/>
    <x v="466"/>
    <x v="0"/>
    <x v="0"/>
    <x v="0"/>
  </r>
  <r>
    <x v="534"/>
    <x v="62"/>
    <x v="32"/>
    <n v="97"/>
    <n v="6"/>
    <n v="4"/>
    <x v="377"/>
    <n v="3"/>
    <s v="not out"/>
    <n v="2"/>
    <x v="4"/>
    <s v="Pune"/>
    <x v="467"/>
    <x v="0"/>
    <x v="1"/>
    <x v="0"/>
  </r>
  <r>
    <x v="535"/>
    <x v="140"/>
    <x v="54"/>
    <n v="104"/>
    <n v="8"/>
    <n v="2"/>
    <x v="378"/>
    <n v="3"/>
    <s v="caught"/>
    <n v="2"/>
    <x v="7"/>
    <s v="Dharamsala"/>
    <x v="468"/>
    <x v="0"/>
    <x v="0"/>
    <x v="1"/>
  </r>
  <r>
    <x v="536"/>
    <x v="15"/>
    <x v="33"/>
    <n v="9"/>
    <n v="0"/>
    <n v="0"/>
    <x v="23"/>
    <n v="3"/>
    <s v="caught"/>
    <n v="1"/>
    <x v="8"/>
    <s v="Lucknow"/>
    <x v="469"/>
    <x v="0"/>
    <x v="0"/>
    <x v="0"/>
  </r>
  <r>
    <x v="537"/>
    <x v="141"/>
    <x v="202"/>
    <n v="94"/>
    <n v="11"/>
    <n v="0"/>
    <x v="379"/>
    <n v="3"/>
    <s v="caught"/>
    <n v="1"/>
    <x v="0"/>
    <s v="Wankhede"/>
    <x v="470"/>
    <x v="0"/>
    <x v="0"/>
    <x v="1"/>
  </r>
  <r>
    <x v="538"/>
    <x v="142"/>
    <x v="103"/>
    <n v="121"/>
    <n v="10"/>
    <n v="0"/>
    <x v="380"/>
    <n v="3"/>
    <s v="not out"/>
    <n v="1"/>
    <x v="5"/>
    <s v="Eden Gardens"/>
    <x v="471"/>
    <x v="0"/>
    <x v="1"/>
    <x v="0"/>
  </r>
  <r>
    <x v="539"/>
    <x v="63"/>
    <x v="37"/>
    <n v="56"/>
    <n v="5"/>
    <n v="1"/>
    <x v="381"/>
    <n v="3"/>
    <s v="bowled"/>
    <n v="1"/>
    <x v="10"/>
    <s v="Bengaluru"/>
    <x v="472"/>
    <x v="0"/>
    <x v="0"/>
    <x v="1"/>
  </r>
  <r>
    <x v="540"/>
    <x v="44"/>
    <x v="203"/>
    <n v="113"/>
    <n v="9"/>
    <n v="2"/>
    <x v="382"/>
    <n v="3"/>
    <s v="caught"/>
    <n v="1"/>
    <x v="7"/>
    <s v="Wankhede"/>
    <x v="473"/>
    <x v="0"/>
    <x v="1"/>
    <x v="0"/>
  </r>
  <r>
    <x v="541"/>
    <x v="24"/>
    <x v="55"/>
    <n v="63"/>
    <n v="4"/>
    <n v="0"/>
    <x v="383"/>
    <n v="3"/>
    <s v="bowled"/>
    <n v="1"/>
    <x v="3"/>
    <s v="Ahmedabad"/>
    <x v="474"/>
    <x v="0"/>
    <x v="0"/>
    <x v="1"/>
  </r>
  <r>
    <x v="542"/>
    <x v="59"/>
    <x v="59"/>
    <n v="64"/>
    <n v="5"/>
    <n v="0"/>
    <x v="384"/>
    <n v="4"/>
    <s v="caught"/>
    <n v="1"/>
    <x v="5"/>
    <s v="Centurion"/>
    <x v="475"/>
    <x v="2"/>
    <x v="0"/>
    <x v="0"/>
  </r>
  <r>
    <x v="543"/>
    <x v="108"/>
    <x v="204"/>
    <n v="82"/>
    <n v="12"/>
    <n v="1"/>
    <x v="385"/>
    <n v="4"/>
    <s v="caught"/>
    <n v="3"/>
    <x v="5"/>
    <s v="Centurion"/>
    <x v="475"/>
    <x v="2"/>
    <x v="0"/>
    <x v="1"/>
  </r>
  <r>
    <x v="544"/>
    <x v="78"/>
    <x v="180"/>
    <n v="59"/>
    <n v="6"/>
    <n v="1"/>
    <x v="386"/>
    <n v="4"/>
    <s v="caught"/>
    <n v="2"/>
    <x v="5"/>
    <s v="Cape Town"/>
    <x v="476"/>
    <x v="2"/>
    <x v="0"/>
    <x v="0"/>
  </r>
  <r>
    <x v="545"/>
    <x v="0"/>
    <x v="20"/>
    <n v="11"/>
    <n v="2"/>
    <n v="0"/>
    <x v="355"/>
    <n v="4"/>
    <s v="caught"/>
    <n v="4"/>
    <x v="5"/>
    <s v="Cape Town"/>
    <x v="476"/>
    <x v="2"/>
    <x v="0"/>
    <x v="0"/>
  </r>
  <r>
    <x v="546"/>
    <x v="73"/>
    <x v="9"/>
    <n v="16"/>
    <n v="5"/>
    <n v="0"/>
    <x v="387"/>
    <n v="3"/>
    <s v="caught"/>
    <n v="2"/>
    <x v="11"/>
    <s v="Indore"/>
    <x v="477"/>
    <x v="1"/>
    <x v="0"/>
    <x v="0"/>
  </r>
  <r>
    <x v="547"/>
    <x v="15"/>
    <x v="40"/>
    <n v="1"/>
    <n v="0"/>
    <n v="0"/>
    <x v="23"/>
    <n v="3"/>
    <s v="caught"/>
    <n v="1"/>
    <x v="11"/>
    <s v="Bengaluru"/>
    <x v="478"/>
    <x v="1"/>
    <x v="0"/>
    <x v="0"/>
  </r>
  <r>
    <x v="548"/>
    <x v="29"/>
    <x v="20"/>
    <n v="5"/>
    <n v="0"/>
    <n v="0"/>
    <x v="80"/>
    <n v="2"/>
    <s v="caught"/>
    <n v="2"/>
    <x v="9"/>
    <s v="New York"/>
    <x v="479"/>
    <x v="1"/>
    <x v="0"/>
    <x v="0"/>
  </r>
  <r>
    <x v="549"/>
    <x v="36"/>
    <x v="95"/>
    <n v="3"/>
    <n v="1"/>
    <n v="0"/>
    <x v="364"/>
    <n v="2"/>
    <s v="caught"/>
    <n v="1"/>
    <x v="1"/>
    <s v="New York"/>
    <x v="480"/>
    <x v="1"/>
    <x v="0"/>
    <x v="0"/>
  </r>
  <r>
    <x v="550"/>
    <x v="15"/>
    <x v="40"/>
    <n v="1"/>
    <n v="0"/>
    <n v="0"/>
    <x v="23"/>
    <n v="2"/>
    <s v="caught"/>
    <n v="2"/>
    <x v="15"/>
    <s v="New York"/>
    <x v="481"/>
    <x v="1"/>
    <x v="0"/>
    <x v="0"/>
  </r>
  <r>
    <x v="551"/>
    <x v="31"/>
    <x v="62"/>
    <n v="24"/>
    <n v="0"/>
    <n v="1"/>
    <x v="4"/>
    <n v="2"/>
    <s v="caught"/>
    <n v="1"/>
    <x v="11"/>
    <s v="Bridgetown"/>
    <x v="482"/>
    <x v="1"/>
    <x v="0"/>
    <x v="0"/>
  </r>
  <r>
    <x v="552"/>
    <x v="1"/>
    <x v="110"/>
    <n v="28"/>
    <n v="1"/>
    <n v="3"/>
    <x v="388"/>
    <n v="2"/>
    <s v="bowled"/>
    <n v="1"/>
    <x v="4"/>
    <s v="North Sound"/>
    <x v="483"/>
    <x v="1"/>
    <x v="0"/>
    <x v="0"/>
  </r>
  <r>
    <x v="553"/>
    <x v="15"/>
    <x v="90"/>
    <n v="5"/>
    <n v="0"/>
    <n v="0"/>
    <x v="23"/>
    <n v="2"/>
    <s v="caught"/>
    <n v="1"/>
    <x v="3"/>
    <s v="Gros Islet"/>
    <x v="484"/>
    <x v="1"/>
    <x v="0"/>
    <x v="0"/>
  </r>
  <r>
    <x v="554"/>
    <x v="11"/>
    <x v="27"/>
    <n v="9"/>
    <n v="0"/>
    <n v="1"/>
    <x v="4"/>
    <n v="2"/>
    <s v="bowled"/>
    <n v="1"/>
    <x v="8"/>
    <s v="Providence"/>
    <x v="485"/>
    <x v="1"/>
    <x v="0"/>
    <x v="0"/>
  </r>
  <r>
    <x v="555"/>
    <x v="108"/>
    <x v="127"/>
    <n v="59"/>
    <n v="6"/>
    <n v="2"/>
    <x v="389"/>
    <n v="2"/>
    <s v="caught"/>
    <n v="1"/>
    <x v="5"/>
    <s v="Bridgetown"/>
    <x v="486"/>
    <x v="1"/>
    <x v="0"/>
    <x v="1"/>
  </r>
  <r>
    <x v="556"/>
    <x v="31"/>
    <x v="51"/>
    <n v="32"/>
    <n v="2"/>
    <n v="0"/>
    <x v="11"/>
    <n v="3"/>
    <s v="lbw"/>
    <n v="2"/>
    <x v="0"/>
    <s v="Colombo (RPS)"/>
    <x v="487"/>
    <x v="0"/>
    <x v="0"/>
    <x v="0"/>
  </r>
  <r>
    <x v="557"/>
    <x v="45"/>
    <x v="60"/>
    <n v="18"/>
    <n v="4"/>
    <n v="0"/>
    <x v="390"/>
    <n v="3"/>
    <s v="lbw"/>
    <n v="2"/>
    <x v="0"/>
    <s v="Colombo (RPS)"/>
    <x v="488"/>
    <x v="0"/>
    <x v="0"/>
    <x v="0"/>
  </r>
  <r>
    <x v="558"/>
    <x v="69"/>
    <x v="46"/>
    <n v="6"/>
    <n v="0"/>
    <n v="0"/>
    <x v="4"/>
    <n v="4"/>
    <s v="caught"/>
    <n v="1"/>
    <x v="4"/>
    <s v="Chennai"/>
    <x v="489"/>
    <x v="2"/>
    <x v="0"/>
    <x v="0"/>
  </r>
  <r>
    <x v="559"/>
    <x v="127"/>
    <x v="29"/>
    <n v="37"/>
    <n v="2"/>
    <n v="0"/>
    <x v="391"/>
    <n v="4"/>
    <s v="lbw"/>
    <n v="3"/>
    <x v="4"/>
    <s v="Chennai"/>
    <x v="489"/>
    <x v="2"/>
    <x v="0"/>
    <x v="0"/>
  </r>
  <r>
    <x v="560"/>
    <x v="73"/>
    <x v="2"/>
    <n v="37"/>
    <n v="4"/>
    <n v="0"/>
    <x v="392"/>
    <n v="4"/>
    <s v="not out"/>
    <n v="4"/>
    <x v="4"/>
    <s v="Kanpur"/>
    <x v="490"/>
    <x v="2"/>
    <x v="0"/>
    <x v="0"/>
  </r>
  <r>
    <x v="561"/>
    <x v="15"/>
    <x v="33"/>
    <n v="9"/>
    <n v="0"/>
    <n v="0"/>
    <x v="23"/>
    <n v="3"/>
    <s v="caught"/>
    <n v="1"/>
    <x v="7"/>
    <s v="Bengaluru"/>
    <x v="491"/>
    <x v="2"/>
    <x v="0"/>
    <x v="0"/>
  </r>
  <r>
    <x v="562"/>
    <x v="64"/>
    <x v="12"/>
    <n v="102"/>
    <n v="8"/>
    <n v="1"/>
    <x v="393"/>
    <n v="3"/>
    <s v="caught"/>
    <n v="3"/>
    <x v="7"/>
    <s v="Bengaluru"/>
    <x v="491"/>
    <x v="2"/>
    <x v="0"/>
    <x v="1"/>
  </r>
  <r>
    <x v="563"/>
    <x v="29"/>
    <x v="4"/>
    <n v="9"/>
    <n v="0"/>
    <n v="0"/>
    <x v="394"/>
    <n v="4"/>
    <s v="bowled"/>
    <n v="2"/>
    <x v="7"/>
    <s v="Pune"/>
    <x v="492"/>
    <x v="2"/>
    <x v="0"/>
    <x v="0"/>
  </r>
  <r>
    <x v="564"/>
    <x v="127"/>
    <x v="125"/>
    <n v="40"/>
    <n v="2"/>
    <n v="0"/>
    <x v="395"/>
    <n v="4"/>
    <s v="lbw"/>
    <n v="4"/>
    <x v="7"/>
    <s v="Pune"/>
    <x v="492"/>
    <x v="2"/>
    <x v="0"/>
    <x v="0"/>
  </r>
  <r>
    <x v="565"/>
    <x v="36"/>
    <x v="22"/>
    <n v="6"/>
    <n v="1"/>
    <n v="0"/>
    <x v="5"/>
    <n v="5"/>
    <s v="run out"/>
    <n v="2"/>
    <x v="7"/>
    <s v="Wankhede"/>
    <x v="493"/>
    <x v="2"/>
    <x v="0"/>
    <x v="0"/>
  </r>
  <r>
    <x v="566"/>
    <x v="82"/>
    <x v="15"/>
    <n v="12"/>
    <n v="0"/>
    <n v="0"/>
    <x v="396"/>
    <n v="4"/>
    <s v="caught"/>
    <n v="1"/>
    <x v="3"/>
    <s v="Perth"/>
    <x v="494"/>
    <x v="2"/>
    <x v="0"/>
    <x v="0"/>
  </r>
  <r>
    <x v="567"/>
    <x v="26"/>
    <x v="205"/>
    <n v="143"/>
    <n v="8"/>
    <n v="2"/>
    <x v="397"/>
    <n v="4"/>
    <s v="not out"/>
    <n v="3"/>
    <x v="3"/>
    <s v="Perth"/>
    <x v="494"/>
    <x v="2"/>
    <x v="0"/>
    <x v="0"/>
  </r>
  <r>
    <x v="568"/>
    <x v="39"/>
    <x v="90"/>
    <n v="8"/>
    <n v="1"/>
    <n v="0"/>
    <x v="398"/>
    <n v="4"/>
    <s v="caught"/>
    <n v="1"/>
    <x v="3"/>
    <s v="Adelaide"/>
    <x v="495"/>
    <x v="2"/>
    <x v="0"/>
    <x v="0"/>
  </r>
  <r>
    <x v="569"/>
    <x v="19"/>
    <x v="81"/>
    <n v="21"/>
    <n v="1"/>
    <n v="0"/>
    <x v="61"/>
    <n v="4"/>
    <s v="caught"/>
    <n v="3"/>
    <x v="3"/>
    <s v="Adelaide"/>
    <x v="495"/>
    <x v="2"/>
    <x v="0"/>
    <x v="0"/>
  </r>
  <r>
    <x v="570"/>
    <x v="43"/>
    <x v="15"/>
    <n v="16"/>
    <n v="0"/>
    <n v="0"/>
    <x v="273"/>
    <n v="4"/>
    <s v="caught"/>
    <n v="2"/>
    <x v="3"/>
    <s v="Brisbane"/>
    <x v="496"/>
    <x v="2"/>
    <x v="0"/>
    <x v="0"/>
  </r>
  <r>
    <x v="571"/>
    <x v="83"/>
    <x v="17"/>
    <n v="86"/>
    <n v="4"/>
    <n v="0"/>
    <x v="399"/>
    <n v="4"/>
    <s v="caught"/>
    <n v="2"/>
    <x v="3"/>
    <s v="Melbourne"/>
    <x v="497"/>
    <x v="2"/>
    <x v="0"/>
    <x v="0"/>
  </r>
  <r>
    <x v="572"/>
    <x v="82"/>
    <x v="2"/>
    <n v="29"/>
    <n v="0"/>
    <n v="0"/>
    <x v="400"/>
    <n v="4"/>
    <s v="caught"/>
    <n v="4"/>
    <x v="3"/>
    <s v="Melbourne"/>
    <x v="497"/>
    <x v="2"/>
    <x v="0"/>
    <x v="0"/>
  </r>
  <r>
    <x v="573"/>
    <x v="127"/>
    <x v="206"/>
    <n v="69"/>
    <n v="0"/>
    <n v="0"/>
    <x v="401"/>
    <n v="4"/>
    <s v="caught"/>
    <n v="1"/>
    <x v="3"/>
    <s v="Sydney"/>
    <x v="498"/>
    <x v="2"/>
    <x v="0"/>
    <x v="0"/>
  </r>
  <r>
    <x v="574"/>
    <x v="69"/>
    <x v="100"/>
    <n v="12"/>
    <n v="1"/>
    <n v="0"/>
    <x v="20"/>
    <n v="4"/>
    <s v="caught"/>
    <n v="3"/>
    <x v="3"/>
    <s v="Sydney"/>
    <x v="498"/>
    <x v="2"/>
    <x v="0"/>
    <x v="0"/>
  </r>
  <r>
    <x v="575"/>
    <x v="42"/>
    <x v="132"/>
    <n v="55"/>
    <n v="7"/>
    <n v="1"/>
    <x v="402"/>
    <n v="3"/>
    <s v="caught"/>
    <n v="1"/>
    <x v="8"/>
    <s v="Ahmedabad"/>
    <x v="499"/>
    <x v="0"/>
    <x v="0"/>
    <x v="1"/>
  </r>
  <r>
    <x v="576"/>
    <x v="25"/>
    <x v="2"/>
    <n v="38"/>
    <n v="1"/>
    <n v="0"/>
    <x v="345"/>
    <n v="3"/>
    <s v="caught"/>
    <n v="2"/>
    <x v="4"/>
    <s v="Dubai (DICS)"/>
    <x v="500"/>
    <x v="0"/>
    <x v="0"/>
    <x v="0"/>
  </r>
  <r>
    <x v="577"/>
    <x v="26"/>
    <x v="207"/>
    <n v="111"/>
    <n v="7"/>
    <n v="0"/>
    <x v="403"/>
    <n v="3"/>
    <s v="not out"/>
    <n v="2"/>
    <x v="1"/>
    <s v="Dubai (DICS)"/>
    <x v="501"/>
    <x v="0"/>
    <x v="0"/>
    <x v="0"/>
  </r>
  <r>
    <x v="578"/>
    <x v="19"/>
    <x v="47"/>
    <n v="14"/>
    <n v="2"/>
    <n v="0"/>
    <x v="404"/>
    <n v="3"/>
    <s v="caught"/>
    <n v="1"/>
    <x v="7"/>
    <s v="Dubai (DICS)"/>
    <x v="502"/>
    <x v="0"/>
    <x v="0"/>
    <x v="0"/>
  </r>
  <r>
    <x v="579"/>
    <x v="143"/>
    <x v="42"/>
    <n v="98"/>
    <n v="5"/>
    <n v="0"/>
    <x v="383"/>
    <n v="3"/>
    <s v="caught"/>
    <n v="2"/>
    <x v="3"/>
    <s v="Dubai (DICS)"/>
    <x v="503"/>
    <x v="0"/>
    <x v="0"/>
    <x v="1"/>
  </r>
  <r>
    <x v="580"/>
    <x v="29"/>
    <x v="93"/>
    <n v="2"/>
    <n v="0"/>
    <n v="0"/>
    <x v="20"/>
    <n v="3"/>
    <s v="lbw"/>
    <n v="2"/>
    <x v="7"/>
    <s v="Dubai (DICS)"/>
    <x v="504"/>
    <x v="0"/>
    <x v="0"/>
    <x v="0"/>
  </r>
  <r>
    <x v="581"/>
    <x v="15"/>
    <x v="33"/>
    <n v="8"/>
    <n v="0"/>
    <n v="0"/>
    <x v="23"/>
    <n v="3"/>
    <s v="caught"/>
    <n v="1"/>
    <x v="3"/>
    <s v="Perth"/>
    <x v="505"/>
    <x v="0"/>
    <x v="0"/>
    <x v="0"/>
  </r>
  <r>
    <x v="582"/>
    <x v="15"/>
    <x v="16"/>
    <n v="4"/>
    <n v="0"/>
    <n v="0"/>
    <x v="23"/>
    <n v="3"/>
    <s v="lbw"/>
    <n v="1"/>
    <x v="3"/>
    <s v="Adelaide"/>
    <x v="506"/>
    <x v="0"/>
    <x v="0"/>
    <x v="0"/>
  </r>
  <r>
    <x v="583"/>
    <x v="135"/>
    <x v="189"/>
    <n v="81"/>
    <n v="7"/>
    <n v="0"/>
    <x v="405"/>
    <n v="3"/>
    <s v="not out"/>
    <n v="2"/>
    <x v="3"/>
    <s v="Sydney"/>
    <x v="507"/>
    <x v="0"/>
    <x v="0"/>
    <x v="1"/>
  </r>
  <r>
    <x v="584"/>
    <x v="144"/>
    <x v="188"/>
    <n v="120"/>
    <n v="11"/>
    <n v="7"/>
    <x v="139"/>
    <n v="3"/>
    <s v="caught"/>
    <n v="1"/>
    <x v="5"/>
    <s v="Ranchi"/>
    <x v="508"/>
    <x v="0"/>
    <x v="1"/>
    <x v="0"/>
  </r>
  <r>
    <x v="585"/>
    <x v="13"/>
    <x v="74"/>
    <n v="93"/>
    <n v="7"/>
    <n v="2"/>
    <x v="406"/>
    <n v="3"/>
    <s v="caught"/>
    <n v="1"/>
    <x v="5"/>
    <s v="Raipur"/>
    <x v="509"/>
    <x v="0"/>
    <x v="1"/>
    <x v="0"/>
  </r>
  <r>
    <x v="586"/>
    <x v="103"/>
    <x v="21"/>
    <n v="45"/>
    <n v="6"/>
    <n v="3"/>
    <x v="407"/>
    <n v="3"/>
    <s v="not out"/>
    <n v="2"/>
    <x v="5"/>
    <s v="Visakhapatnam"/>
    <x v="510"/>
    <x v="0"/>
    <x v="0"/>
    <x v="1"/>
  </r>
  <r>
    <x v="587"/>
    <x v="145"/>
    <x v="18"/>
    <n v="91"/>
    <n v="8"/>
    <n v="1"/>
    <x v="408"/>
    <n v="3"/>
    <s v="caught"/>
    <n v="2"/>
    <x v="7"/>
    <s v="Vadodara"/>
    <x v="511"/>
    <x v="0"/>
    <x v="0"/>
    <x v="1"/>
  </r>
  <r>
    <x v="588"/>
    <x v="46"/>
    <x v="29"/>
    <n v="29"/>
    <n v="2"/>
    <n v="0"/>
    <x v="409"/>
    <n v="3"/>
    <s v="bowled"/>
    <n v="1"/>
    <x v="7"/>
    <s v="Rajkot"/>
    <x v="512"/>
    <x v="0"/>
    <x v="0"/>
    <x v="0"/>
  </r>
  <r>
    <x v="589"/>
    <x v="146"/>
    <x v="134"/>
    <n v="108"/>
    <n v="10"/>
    <n v="3"/>
    <x v="410"/>
    <n v="3"/>
    <s v="caught"/>
    <n v="2"/>
    <x v="7"/>
    <s v="Indore"/>
    <x v="513"/>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1AA5CF-26C1-47CE-80FD-CF6CBB0395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6" firstHeaderRow="1" firstDataRow="1" firstDataCol="1"/>
  <pivotFields count="19">
    <pivotField showAll="0"/>
    <pivotField dataField="1" showAll="0"/>
    <pivotField showAll="0"/>
    <pivotField showAll="0"/>
    <pivotField showAll="0"/>
    <pivotField showAll="0"/>
    <pivotField showAll="0"/>
    <pivotField showAll="0"/>
    <pivotField showAll="0"/>
    <pivotField showAll="0"/>
    <pivotField showAll="0">
      <items count="17">
        <item x="11"/>
        <item x="3"/>
        <item x="4"/>
        <item x="8"/>
        <item x="14"/>
        <item x="9"/>
        <item x="10"/>
        <item x="7"/>
        <item x="1"/>
        <item x="13"/>
        <item x="5"/>
        <item x="0"/>
        <item x="12"/>
        <item x="15"/>
        <item x="2"/>
        <item x="6"/>
        <item t="default"/>
      </items>
    </pivotField>
    <pivotField showAll="0"/>
    <pivotField numFmtId="14" showAll="0">
      <items count="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axis="axisRow" showAll="0">
      <items count="4">
        <item x="0"/>
        <item x="1"/>
        <item x="2"/>
        <item t="default"/>
      </items>
    </pivotField>
    <pivotField showAll="0">
      <items count="3">
        <item x="0"/>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3"/>
  </rowFields>
  <rowItems count="4">
    <i>
      <x/>
    </i>
    <i>
      <x v="1"/>
    </i>
    <i>
      <x v="2"/>
    </i>
    <i t="grand">
      <x/>
    </i>
  </rowItems>
  <colItems count="1">
    <i/>
  </colItems>
  <dataFields count="1">
    <dataField name="Sum of RUNS" fld="1" baseField="0" baseItem="0"/>
  </dataFields>
  <chartFormats count="4">
    <chartFormat chart="3" format="2"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DDC48E-7AA9-421D-8660-A31853C648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21:L25" firstHeaderRow="1" firstDataRow="1" firstDataCol="1"/>
  <pivotFields count="19">
    <pivotField showAll="0"/>
    <pivotField showAll="0"/>
    <pivotField showAll="0">
      <items count="209">
        <item x="40"/>
        <item x="35"/>
        <item x="16"/>
        <item x="93"/>
        <item x="22"/>
        <item x="4"/>
        <item x="95"/>
        <item x="90"/>
        <item x="46"/>
        <item x="27"/>
        <item x="31"/>
        <item x="33"/>
        <item x="20"/>
        <item x="100"/>
        <item x="38"/>
        <item x="34"/>
        <item x="80"/>
        <item x="47"/>
        <item x="11"/>
        <item x="9"/>
        <item x="53"/>
        <item x="161"/>
        <item x="105"/>
        <item x="119"/>
        <item x="15"/>
        <item x="91"/>
        <item x="192"/>
        <item x="5"/>
        <item x="60"/>
        <item x="14"/>
        <item x="81"/>
        <item x="8"/>
        <item x="0"/>
        <item x="110"/>
        <item x="19"/>
        <item x="65"/>
        <item x="136"/>
        <item x="36"/>
        <item x="107"/>
        <item x="2"/>
        <item x="62"/>
        <item x="51"/>
        <item x="29"/>
        <item x="63"/>
        <item x="3"/>
        <item x="87"/>
        <item x="193"/>
        <item x="122"/>
        <item x="52"/>
        <item x="30"/>
        <item x="7"/>
        <item x="111"/>
        <item x="125"/>
        <item x="194"/>
        <item x="21"/>
        <item x="128"/>
        <item x="155"/>
        <item x="78"/>
        <item x="79"/>
        <item x="44"/>
        <item x="138"/>
        <item x="123"/>
        <item x="73"/>
        <item x="88"/>
        <item x="77"/>
        <item x="41"/>
        <item x="37"/>
        <item x="49"/>
        <item x="124"/>
        <item x="43"/>
        <item x="131"/>
        <item x="132"/>
        <item x="106"/>
        <item x="86"/>
        <item x="109"/>
        <item x="137"/>
        <item x="191"/>
        <item x="71"/>
        <item x="148"/>
        <item x="1"/>
        <item x="26"/>
        <item x="133"/>
        <item x="135"/>
        <item x="82"/>
        <item x="127"/>
        <item x="183"/>
        <item x="159"/>
        <item x="178"/>
        <item x="195"/>
        <item x="45"/>
        <item x="177"/>
        <item x="59"/>
        <item x="23"/>
        <item x="55"/>
        <item x="10"/>
        <item x="206"/>
        <item x="48"/>
        <item x="180"/>
        <item x="92"/>
        <item x="179"/>
        <item x="121"/>
        <item x="56"/>
        <item x="150"/>
        <item x="113"/>
        <item x="84"/>
        <item x="189"/>
        <item x="169"/>
        <item x="32"/>
        <item x="98"/>
        <item x="198"/>
        <item x="64"/>
        <item x="196"/>
        <item x="39"/>
        <item x="108"/>
        <item x="89"/>
        <item x="6"/>
        <item x="28"/>
        <item x="18"/>
        <item x="112"/>
        <item x="17"/>
        <item x="68"/>
        <item x="181"/>
        <item x="13"/>
        <item x="101"/>
        <item x="76"/>
        <item x="102"/>
        <item x="172"/>
        <item x="66"/>
        <item x="50"/>
        <item x="42"/>
        <item x="12"/>
        <item x="204"/>
        <item x="202"/>
        <item x="74"/>
        <item x="140"/>
        <item x="151"/>
        <item x="147"/>
        <item x="67"/>
        <item x="203"/>
        <item x="175"/>
        <item x="207"/>
        <item x="142"/>
        <item x="185"/>
        <item x="54"/>
        <item x="129"/>
        <item x="61"/>
        <item x="104"/>
        <item x="70"/>
        <item x="94"/>
        <item x="145"/>
        <item x="25"/>
        <item x="162"/>
        <item x="154"/>
        <item x="120"/>
        <item x="168"/>
        <item x="201"/>
        <item x="144"/>
        <item x="188"/>
        <item x="134"/>
        <item x="126"/>
        <item x="99"/>
        <item x="152"/>
        <item x="165"/>
        <item x="72"/>
        <item x="57"/>
        <item x="114"/>
        <item x="24"/>
        <item x="103"/>
        <item x="187"/>
        <item x="186"/>
        <item x="130"/>
        <item x="153"/>
        <item x="156"/>
        <item x="69"/>
        <item x="171"/>
        <item x="163"/>
        <item x="205"/>
        <item x="58"/>
        <item x="166"/>
        <item x="184"/>
        <item x="182"/>
        <item x="97"/>
        <item x="96"/>
        <item x="199"/>
        <item x="85"/>
        <item x="115"/>
        <item x="200"/>
        <item x="190"/>
        <item x="164"/>
        <item x="116"/>
        <item x="75"/>
        <item x="167"/>
        <item x="149"/>
        <item x="174"/>
        <item x="118"/>
        <item x="170"/>
        <item x="83"/>
        <item x="173"/>
        <item x="139"/>
        <item x="160"/>
        <item x="117"/>
        <item x="157"/>
        <item x="143"/>
        <item x="158"/>
        <item x="146"/>
        <item x="197"/>
        <item x="141"/>
        <item x="176"/>
        <item t="default"/>
      </items>
    </pivotField>
    <pivotField showAll="0"/>
    <pivotField showAll="0"/>
    <pivotField showAll="0"/>
    <pivotField dataField="1" showAll="0">
      <items count="412">
        <item x="23"/>
        <item x="361"/>
        <item x="166"/>
        <item x="157"/>
        <item x="394"/>
        <item x="107"/>
        <item x="295"/>
        <item x="400"/>
        <item x="273"/>
        <item x="80"/>
        <item x="325"/>
        <item x="191"/>
        <item x="401"/>
        <item x="14"/>
        <item x="45"/>
        <item x="214"/>
        <item x="226"/>
        <item x="145"/>
        <item x="44"/>
        <item x="93"/>
        <item x="317"/>
        <item x="169"/>
        <item x="134"/>
        <item x="274"/>
        <item x="360"/>
        <item x="32"/>
        <item x="94"/>
        <item x="96"/>
        <item x="212"/>
        <item x="67"/>
        <item x="149"/>
        <item x="337"/>
        <item x="63"/>
        <item x="242"/>
        <item x="49"/>
        <item x="277"/>
        <item x="338"/>
        <item x="43"/>
        <item x="276"/>
        <item x="260"/>
        <item x="131"/>
        <item x="175"/>
        <item x="136"/>
        <item x="324"/>
        <item x="101"/>
        <item x="326"/>
        <item x="396"/>
        <item x="370"/>
        <item x="399"/>
        <item x="200"/>
        <item x="366"/>
        <item x="395"/>
        <item x="39"/>
        <item x="334"/>
        <item x="318"/>
        <item x="50"/>
        <item x="265"/>
        <item x="223"/>
        <item x="193"/>
        <item x="301"/>
        <item x="368"/>
        <item x="138"/>
        <item x="391"/>
        <item x="365"/>
        <item x="327"/>
        <item x="302"/>
        <item x="319"/>
        <item x="56"/>
        <item x="275"/>
        <item x="343"/>
        <item x="73"/>
        <item x="160"/>
        <item x="203"/>
        <item x="190"/>
        <item x="129"/>
        <item x="20"/>
        <item x="245"/>
        <item x="367"/>
        <item x="205"/>
        <item x="246"/>
        <item x="106"/>
        <item x="147"/>
        <item x="335"/>
        <item x="263"/>
        <item x="61"/>
        <item x="171"/>
        <item x="130"/>
        <item x="288"/>
        <item x="86"/>
        <item x="95"/>
        <item x="168"/>
        <item x="85"/>
        <item x="64"/>
        <item x="66"/>
        <item x="0"/>
        <item x="259"/>
        <item x="65"/>
        <item x="1"/>
        <item x="57"/>
        <item x="218"/>
        <item x="62"/>
        <item x="161"/>
        <item x="46"/>
        <item x="371"/>
        <item x="195"/>
        <item x="267"/>
        <item x="345"/>
        <item x="182"/>
        <item x="81"/>
        <item x="261"/>
        <item x="52"/>
        <item x="342"/>
        <item x="384"/>
        <item x="115"/>
        <item x="36"/>
        <item x="266"/>
        <item x="173"/>
        <item x="150"/>
        <item x="158"/>
        <item x="87"/>
        <item x="8"/>
        <item x="201"/>
        <item x="369"/>
        <item x="148"/>
        <item x="262"/>
        <item x="159"/>
        <item x="347"/>
        <item x="35"/>
        <item x="72"/>
        <item x="333"/>
        <item x="30"/>
        <item x="264"/>
        <item x="24"/>
        <item x="296"/>
        <item x="135"/>
        <item x="83"/>
        <item x="128"/>
        <item x="2"/>
        <item x="258"/>
        <item x="5"/>
        <item x="3"/>
        <item x="219"/>
        <item x="102"/>
        <item x="31"/>
        <item x="108"/>
        <item x="103"/>
        <item x="393"/>
        <item x="204"/>
        <item x="194"/>
        <item x="397"/>
        <item x="243"/>
        <item x="306"/>
        <item x="156"/>
        <item x="244"/>
        <item x="213"/>
        <item x="189"/>
        <item x="231"/>
        <item x="176"/>
        <item x="21"/>
        <item x="18"/>
        <item x="119"/>
        <item x="38"/>
        <item x="170"/>
        <item x="123"/>
        <item x="7"/>
        <item x="374"/>
        <item x="146"/>
        <item x="279"/>
        <item x="202"/>
        <item x="11"/>
        <item x="216"/>
        <item x="48"/>
        <item x="305"/>
        <item x="109"/>
        <item x="222"/>
        <item x="6"/>
        <item x="280"/>
        <item x="163"/>
        <item x="29"/>
        <item x="117"/>
        <item x="339"/>
        <item x="37"/>
        <item x="75"/>
        <item x="386"/>
        <item x="392"/>
        <item x="404"/>
        <item x="41"/>
        <item x="105"/>
        <item x="165"/>
        <item x="409"/>
        <item x="152"/>
        <item x="74"/>
        <item x="239"/>
        <item x="47"/>
        <item x="15"/>
        <item x="256"/>
        <item x="77"/>
        <item x="155"/>
        <item x="321"/>
        <item x="316"/>
        <item x="282"/>
        <item x="344"/>
        <item x="111"/>
        <item x="99"/>
        <item x="71"/>
        <item x="22"/>
        <item x="210"/>
        <item x="358"/>
        <item x="380"/>
        <item x="332"/>
        <item x="240"/>
        <item x="162"/>
        <item x="167"/>
        <item x="199"/>
        <item x="383"/>
        <item x="230"/>
        <item x="241"/>
        <item x="293"/>
        <item x="54"/>
        <item x="207"/>
        <item x="238"/>
        <item x="398"/>
        <item x="292"/>
        <item x="178"/>
        <item x="198"/>
        <item x="127"/>
        <item x="376"/>
        <item x="17"/>
        <item x="12"/>
        <item x="270"/>
        <item x="27"/>
        <item x="403"/>
        <item x="249"/>
        <item x="42"/>
        <item x="112"/>
        <item x="252"/>
        <item x="381"/>
        <item x="70"/>
        <item x="378"/>
        <item x="405"/>
        <item x="255"/>
        <item x="164"/>
        <item x="373"/>
        <item x="247"/>
        <item x="385"/>
        <item x="278"/>
        <item x="121"/>
        <item x="331"/>
        <item x="379"/>
        <item x="55"/>
        <item x="79"/>
        <item x="177"/>
        <item x="10"/>
        <item x="60"/>
        <item x="402"/>
        <item x="228"/>
        <item x="211"/>
        <item x="58"/>
        <item x="281"/>
        <item x="299"/>
        <item x="183"/>
        <item x="294"/>
        <item x="220"/>
        <item x="286"/>
        <item x="233"/>
        <item x="104"/>
        <item x="25"/>
        <item x="285"/>
        <item x="313"/>
        <item x="375"/>
        <item x="174"/>
        <item x="257"/>
        <item x="125"/>
        <item x="4"/>
        <item x="248"/>
        <item x="26"/>
        <item x="408"/>
        <item x="320"/>
        <item x="124"/>
        <item x="312"/>
        <item x="348"/>
        <item x="153"/>
        <item x="382"/>
        <item x="357"/>
        <item x="142"/>
        <item x="68"/>
        <item x="196"/>
        <item x="133"/>
        <item x="126"/>
        <item x="377"/>
        <item x="291"/>
        <item x="116"/>
        <item x="289"/>
        <item x="234"/>
        <item x="13"/>
        <item x="82"/>
        <item x="355"/>
        <item x="406"/>
        <item x="154"/>
        <item x="132"/>
        <item x="390"/>
        <item x="137"/>
        <item x="208"/>
        <item x="308"/>
        <item x="139"/>
        <item x="271"/>
        <item x="141"/>
        <item x="53"/>
        <item x="410"/>
        <item x="197"/>
        <item x="51"/>
        <item x="300"/>
        <item x="179"/>
        <item x="91"/>
        <item x="206"/>
        <item x="336"/>
        <item x="40"/>
        <item x="224"/>
        <item x="290"/>
        <item x="215"/>
        <item x="184"/>
        <item x="33"/>
        <item x="269"/>
        <item x="297"/>
        <item x="110"/>
        <item x="100"/>
        <item x="114"/>
        <item x="217"/>
        <item x="97"/>
        <item x="78"/>
        <item x="253"/>
        <item x="19"/>
        <item x="304"/>
        <item x="359"/>
        <item x="90"/>
        <item x="113"/>
        <item x="341"/>
        <item x="92"/>
        <item x="89"/>
        <item x="389"/>
        <item x="69"/>
        <item x="287"/>
        <item x="372"/>
        <item x="362"/>
        <item x="251"/>
        <item x="340"/>
        <item x="268"/>
        <item x="298"/>
        <item x="351"/>
        <item x="140"/>
        <item x="118"/>
        <item x="388"/>
        <item x="144"/>
        <item x="364"/>
        <item x="349"/>
        <item x="250"/>
        <item x="350"/>
        <item x="227"/>
        <item x="303"/>
        <item x="181"/>
        <item x="323"/>
        <item x="209"/>
        <item x="314"/>
        <item x="315"/>
        <item x="354"/>
        <item x="283"/>
        <item x="84"/>
        <item x="9"/>
        <item x="407"/>
        <item x="356"/>
        <item x="185"/>
        <item x="28"/>
        <item x="254"/>
        <item x="186"/>
        <item x="272"/>
        <item x="328"/>
        <item x="363"/>
        <item x="229"/>
        <item x="311"/>
        <item x="330"/>
        <item x="76"/>
        <item x="353"/>
        <item x="236"/>
        <item x="232"/>
        <item x="172"/>
        <item x="34"/>
        <item x="187"/>
        <item x="151"/>
        <item x="143"/>
        <item x="322"/>
        <item x="329"/>
        <item x="88"/>
        <item x="122"/>
        <item x="352"/>
        <item x="310"/>
        <item x="221"/>
        <item x="192"/>
        <item x="180"/>
        <item x="387"/>
        <item x="346"/>
        <item x="307"/>
        <item x="188"/>
        <item x="284"/>
        <item x="98"/>
        <item x="120"/>
        <item x="225"/>
        <item x="59"/>
        <item x="237"/>
        <item x="235"/>
        <item x="309"/>
        <item x="16"/>
        <item t="default"/>
      </items>
    </pivotField>
    <pivotField showAll="0"/>
    <pivotField showAll="0"/>
    <pivotField showAll="0"/>
    <pivotField showAll="0">
      <items count="17">
        <item x="11"/>
        <item x="3"/>
        <item x="4"/>
        <item x="8"/>
        <item x="14"/>
        <item x="9"/>
        <item x="10"/>
        <item x="7"/>
        <item x="1"/>
        <item x="13"/>
        <item x="5"/>
        <item x="0"/>
        <item x="12"/>
        <item x="15"/>
        <item x="2"/>
        <item x="6"/>
        <item t="default"/>
      </items>
    </pivotField>
    <pivotField showAll="0"/>
    <pivotField numFmtId="14" showAll="0">
      <items count="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axis="axisRow" showAll="0">
      <items count="4">
        <item x="0"/>
        <item x="1"/>
        <item x="2"/>
        <item t="default"/>
      </items>
    </pivotField>
    <pivotField showAll="0">
      <items count="3">
        <item x="0"/>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3"/>
  </rowFields>
  <rowItems count="4">
    <i>
      <x/>
    </i>
    <i>
      <x v="1"/>
    </i>
    <i>
      <x v="2"/>
    </i>
    <i t="grand">
      <x/>
    </i>
  </rowItems>
  <colItems count="1">
    <i/>
  </colItems>
  <dataFields count="1">
    <dataField name="Average of STRIKERATE" fld="6" subtotal="average" baseField="0" baseItem="0" numFmtId="2"/>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C61985-6879-49C0-A5AA-D316D855D1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F19" firstHeaderRow="0" firstDataRow="1" firstDataCol="1"/>
  <pivotFields count="19">
    <pivotField showAll="0">
      <items count="5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t="default"/>
      </items>
    </pivotField>
    <pivotField showAll="0"/>
    <pivotField showAll="0"/>
    <pivotField showAll="0"/>
    <pivotField dataField="1" showAll="0"/>
    <pivotField dataField="1" showAll="0"/>
    <pivotField showAll="0"/>
    <pivotField showAll="0"/>
    <pivotField showAll="0"/>
    <pivotField showAll="0"/>
    <pivotField axis="axisRow" showAll="0">
      <items count="17">
        <item x="11"/>
        <item x="3"/>
        <item x="4"/>
        <item x="8"/>
        <item x="14"/>
        <item x="9"/>
        <item x="10"/>
        <item x="7"/>
        <item x="1"/>
        <item x="13"/>
        <item x="5"/>
        <item x="0"/>
        <item x="12"/>
        <item x="15"/>
        <item x="2"/>
        <item x="6"/>
        <item t="default"/>
      </items>
    </pivotField>
    <pivotField showAll="0"/>
    <pivotField numFmtId="14" showAll="0">
      <items count="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SIXES" fld="5" baseField="0" baseItem="0"/>
    <dataField name="Sum of FOURS" fld="4"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4DA6E0-458E-434A-9A95-54B23B561AC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2:O6" firstHeaderRow="1" firstDataRow="1" firstDataCol="1"/>
  <pivotFields count="19">
    <pivotField showAll="0"/>
    <pivotField showAll="0"/>
    <pivotField showAll="0">
      <items count="209">
        <item x="40"/>
        <item x="35"/>
        <item x="16"/>
        <item x="93"/>
        <item x="22"/>
        <item x="4"/>
        <item x="95"/>
        <item x="90"/>
        <item x="46"/>
        <item x="27"/>
        <item x="31"/>
        <item x="33"/>
        <item x="20"/>
        <item x="100"/>
        <item x="38"/>
        <item x="34"/>
        <item x="80"/>
        <item x="47"/>
        <item x="11"/>
        <item x="9"/>
        <item x="53"/>
        <item x="161"/>
        <item x="105"/>
        <item x="119"/>
        <item x="15"/>
        <item x="91"/>
        <item x="192"/>
        <item x="5"/>
        <item x="60"/>
        <item x="14"/>
        <item x="81"/>
        <item x="8"/>
        <item x="0"/>
        <item x="110"/>
        <item x="19"/>
        <item x="65"/>
        <item x="136"/>
        <item x="36"/>
        <item x="107"/>
        <item x="2"/>
        <item x="62"/>
        <item x="51"/>
        <item x="29"/>
        <item x="63"/>
        <item x="3"/>
        <item x="87"/>
        <item x="193"/>
        <item x="122"/>
        <item x="52"/>
        <item x="30"/>
        <item x="7"/>
        <item x="111"/>
        <item x="125"/>
        <item x="194"/>
        <item x="21"/>
        <item x="128"/>
        <item x="155"/>
        <item x="78"/>
        <item x="79"/>
        <item x="44"/>
        <item x="138"/>
        <item x="123"/>
        <item x="73"/>
        <item x="88"/>
        <item x="77"/>
        <item x="41"/>
        <item x="37"/>
        <item x="49"/>
        <item x="124"/>
        <item x="43"/>
        <item x="131"/>
        <item x="132"/>
        <item x="106"/>
        <item x="86"/>
        <item x="109"/>
        <item x="137"/>
        <item x="191"/>
        <item x="71"/>
        <item x="148"/>
        <item x="1"/>
        <item x="26"/>
        <item x="133"/>
        <item x="135"/>
        <item x="82"/>
        <item x="127"/>
        <item x="183"/>
        <item x="159"/>
        <item x="178"/>
        <item x="195"/>
        <item x="45"/>
        <item x="177"/>
        <item x="59"/>
        <item x="23"/>
        <item x="55"/>
        <item x="10"/>
        <item x="206"/>
        <item x="48"/>
        <item x="180"/>
        <item x="92"/>
        <item x="179"/>
        <item x="121"/>
        <item x="56"/>
        <item x="150"/>
        <item x="113"/>
        <item x="84"/>
        <item x="189"/>
        <item x="169"/>
        <item x="32"/>
        <item x="98"/>
        <item x="198"/>
        <item x="64"/>
        <item x="196"/>
        <item x="39"/>
        <item x="108"/>
        <item x="89"/>
        <item x="6"/>
        <item x="28"/>
        <item x="18"/>
        <item x="112"/>
        <item x="17"/>
        <item x="68"/>
        <item x="181"/>
        <item x="13"/>
        <item x="101"/>
        <item x="76"/>
        <item x="102"/>
        <item x="172"/>
        <item x="66"/>
        <item x="50"/>
        <item x="42"/>
        <item x="12"/>
        <item x="204"/>
        <item x="202"/>
        <item x="74"/>
        <item x="140"/>
        <item x="151"/>
        <item x="147"/>
        <item x="67"/>
        <item x="203"/>
        <item x="175"/>
        <item x="207"/>
        <item x="142"/>
        <item x="185"/>
        <item x="54"/>
        <item x="129"/>
        <item x="61"/>
        <item x="104"/>
        <item x="70"/>
        <item x="94"/>
        <item x="145"/>
        <item x="25"/>
        <item x="162"/>
        <item x="154"/>
        <item x="120"/>
        <item x="168"/>
        <item x="201"/>
        <item x="144"/>
        <item x="188"/>
        <item x="134"/>
        <item x="126"/>
        <item x="99"/>
        <item x="152"/>
        <item x="165"/>
        <item x="72"/>
        <item x="57"/>
        <item x="114"/>
        <item x="24"/>
        <item x="103"/>
        <item x="187"/>
        <item x="186"/>
        <item x="130"/>
        <item x="153"/>
        <item x="156"/>
        <item x="69"/>
        <item x="171"/>
        <item x="163"/>
        <item x="205"/>
        <item x="58"/>
        <item x="166"/>
        <item x="184"/>
        <item x="182"/>
        <item x="97"/>
        <item x="96"/>
        <item x="199"/>
        <item x="85"/>
        <item x="115"/>
        <item x="200"/>
        <item x="190"/>
        <item x="164"/>
        <item x="116"/>
        <item x="75"/>
        <item x="167"/>
        <item x="149"/>
        <item x="174"/>
        <item x="118"/>
        <item x="170"/>
        <item x="83"/>
        <item x="173"/>
        <item x="139"/>
        <item x="160"/>
        <item x="117"/>
        <item x="157"/>
        <item x="143"/>
        <item x="158"/>
        <item x="146"/>
        <item x="197"/>
        <item x="141"/>
        <item x="176"/>
        <item t="default"/>
      </items>
    </pivotField>
    <pivotField showAll="0"/>
    <pivotField showAll="0"/>
    <pivotField showAll="0"/>
    <pivotField showAll="0">
      <items count="412">
        <item h="1" x="23"/>
        <item h="1" x="361"/>
        <item h="1" x="166"/>
        <item h="1" x="157"/>
        <item h="1" x="394"/>
        <item h="1" x="107"/>
        <item h="1" x="295"/>
        <item h="1" x="400"/>
        <item h="1" x="273"/>
        <item h="1" x="80"/>
        <item h="1" x="325"/>
        <item h="1" x="191"/>
        <item h="1" x="401"/>
        <item h="1" x="14"/>
        <item h="1" x="45"/>
        <item h="1" x="214"/>
        <item h="1" x="226"/>
        <item h="1" x="145"/>
        <item h="1" x="44"/>
        <item h="1" x="93"/>
        <item h="1" x="317"/>
        <item h="1" x="169"/>
        <item h="1" x="134"/>
        <item h="1" x="274"/>
        <item h="1" x="360"/>
        <item h="1" x="32"/>
        <item h="1" x="94"/>
        <item h="1" x="96"/>
        <item h="1" x="212"/>
        <item h="1" x="67"/>
        <item h="1" x="149"/>
        <item h="1" x="337"/>
        <item h="1" x="63"/>
        <item h="1" x="242"/>
        <item h="1" x="49"/>
        <item h="1" x="277"/>
        <item h="1" x="338"/>
        <item h="1" x="43"/>
        <item h="1" x="276"/>
        <item h="1" x="260"/>
        <item h="1" x="131"/>
        <item h="1" x="175"/>
        <item h="1" x="136"/>
        <item h="1" x="324"/>
        <item h="1" x="101"/>
        <item h="1" x="326"/>
        <item h="1" x="396"/>
        <item h="1" x="370"/>
        <item h="1" x="399"/>
        <item h="1" x="200"/>
        <item h="1" x="366"/>
        <item h="1" x="395"/>
        <item h="1" x="39"/>
        <item h="1" x="334"/>
        <item h="1" x="318"/>
        <item h="1" x="50"/>
        <item h="1" x="265"/>
        <item h="1" x="223"/>
        <item h="1" x="193"/>
        <item h="1" x="301"/>
        <item h="1" x="368"/>
        <item h="1" x="138"/>
        <item h="1" x="391"/>
        <item h="1" x="365"/>
        <item h="1" x="327"/>
        <item h="1" x="302"/>
        <item h="1" x="319"/>
        <item h="1" x="56"/>
        <item h="1" x="275"/>
        <item h="1" x="343"/>
        <item h="1" x="73"/>
        <item h="1" x="160"/>
        <item h="1" x="203"/>
        <item h="1" x="190"/>
        <item h="1" x="129"/>
        <item h="1" x="20"/>
        <item h="1" x="245"/>
        <item x="367"/>
        <item h="1" x="205"/>
        <item h="1" x="246"/>
        <item h="1" x="106"/>
        <item h="1" x="147"/>
        <item h="1" x="335"/>
        <item h="1" x="263"/>
        <item h="1" x="61"/>
        <item h="1" x="171"/>
        <item h="1" x="130"/>
        <item h="1" x="288"/>
        <item h="1" x="86"/>
        <item h="1" x="95"/>
        <item h="1" x="168"/>
        <item h="1" x="85"/>
        <item h="1" x="64"/>
        <item h="1" x="66"/>
        <item h="1" x="0"/>
        <item h="1" x="259"/>
        <item h="1" x="65"/>
        <item h="1" x="1"/>
        <item h="1" x="57"/>
        <item h="1" x="218"/>
        <item h="1" x="62"/>
        <item h="1" x="161"/>
        <item h="1" x="46"/>
        <item h="1" x="371"/>
        <item h="1" x="195"/>
        <item h="1" x="267"/>
        <item h="1" x="345"/>
        <item h="1" x="182"/>
        <item h="1" x="81"/>
        <item h="1" x="261"/>
        <item h="1" x="52"/>
        <item h="1" x="342"/>
        <item h="1" x="384"/>
        <item h="1" x="115"/>
        <item h="1" x="36"/>
        <item h="1" x="266"/>
        <item h="1" x="173"/>
        <item h="1" x="150"/>
        <item h="1" x="158"/>
        <item h="1" x="87"/>
        <item h="1" x="8"/>
        <item h="1" x="201"/>
        <item h="1" x="369"/>
        <item h="1" x="148"/>
        <item h="1" x="262"/>
        <item h="1" x="159"/>
        <item h="1" x="347"/>
        <item h="1" x="35"/>
        <item h="1" x="72"/>
        <item h="1" x="333"/>
        <item h="1" x="30"/>
        <item h="1" x="264"/>
        <item h="1" x="24"/>
        <item h="1" x="296"/>
        <item h="1" x="135"/>
        <item h="1" x="83"/>
        <item h="1" x="128"/>
        <item h="1" x="2"/>
        <item h="1" x="258"/>
        <item h="1" x="5"/>
        <item h="1" x="3"/>
        <item h="1" x="219"/>
        <item h="1" x="102"/>
        <item h="1" x="31"/>
        <item h="1" x="108"/>
        <item h="1" x="103"/>
        <item h="1" x="393"/>
        <item h="1" x="204"/>
        <item h="1" x="194"/>
        <item h="1" x="397"/>
        <item h="1" x="243"/>
        <item h="1" x="306"/>
        <item h="1" x="156"/>
        <item h="1" x="244"/>
        <item h="1" x="213"/>
        <item h="1" x="189"/>
        <item h="1" x="231"/>
        <item h="1" x="176"/>
        <item h="1" x="21"/>
        <item h="1" x="18"/>
        <item h="1" x="119"/>
        <item h="1" x="38"/>
        <item h="1" x="170"/>
        <item h="1" x="123"/>
        <item h="1" x="7"/>
        <item h="1" x="374"/>
        <item h="1" x="146"/>
        <item h="1" x="279"/>
        <item h="1" x="202"/>
        <item h="1" x="11"/>
        <item h="1" x="216"/>
        <item h="1" x="48"/>
        <item h="1" x="305"/>
        <item h="1" x="109"/>
        <item h="1" x="222"/>
        <item h="1" x="6"/>
        <item h="1" x="280"/>
        <item h="1" x="163"/>
        <item h="1" x="29"/>
        <item h="1" x="117"/>
        <item h="1" x="339"/>
        <item h="1" x="37"/>
        <item h="1" x="75"/>
        <item h="1" x="386"/>
        <item h="1" x="392"/>
        <item h="1" x="404"/>
        <item h="1" x="41"/>
        <item h="1" x="105"/>
        <item h="1" x="165"/>
        <item h="1" x="409"/>
        <item h="1" x="152"/>
        <item h="1" x="74"/>
        <item h="1" x="239"/>
        <item h="1" x="47"/>
        <item h="1" x="15"/>
        <item h="1" x="256"/>
        <item h="1" x="77"/>
        <item h="1" x="155"/>
        <item h="1" x="321"/>
        <item h="1" x="316"/>
        <item h="1" x="282"/>
        <item h="1" x="344"/>
        <item h="1" x="111"/>
        <item h="1" x="99"/>
        <item h="1" x="71"/>
        <item h="1" x="22"/>
        <item h="1" x="210"/>
        <item h="1" x="358"/>
        <item h="1" x="380"/>
        <item h="1" x="332"/>
        <item h="1" x="240"/>
        <item h="1" x="162"/>
        <item h="1" x="167"/>
        <item h="1" x="199"/>
        <item h="1" x="383"/>
        <item h="1" x="230"/>
        <item h="1" x="241"/>
        <item h="1" x="293"/>
        <item h="1" x="54"/>
        <item h="1" x="207"/>
        <item h="1" x="238"/>
        <item h="1" x="398"/>
        <item h="1" x="292"/>
        <item h="1" x="178"/>
        <item h="1" x="198"/>
        <item h="1" x="127"/>
        <item h="1" x="376"/>
        <item h="1" x="17"/>
        <item h="1" x="12"/>
        <item h="1" x="270"/>
        <item h="1" x="27"/>
        <item h="1" x="403"/>
        <item h="1" x="249"/>
        <item h="1" x="42"/>
        <item h="1" x="112"/>
        <item h="1" x="252"/>
        <item h="1" x="381"/>
        <item h="1" x="70"/>
        <item h="1" x="378"/>
        <item h="1" x="405"/>
        <item h="1" x="255"/>
        <item h="1" x="164"/>
        <item h="1" x="373"/>
        <item h="1" x="247"/>
        <item h="1" x="385"/>
        <item h="1" x="278"/>
        <item h="1" x="121"/>
        <item h="1" x="331"/>
        <item h="1" x="379"/>
        <item h="1" x="55"/>
        <item h="1" x="79"/>
        <item h="1" x="177"/>
        <item h="1" x="10"/>
        <item h="1" x="60"/>
        <item h="1" x="402"/>
        <item h="1" x="228"/>
        <item h="1" x="211"/>
        <item h="1" x="58"/>
        <item h="1" x="281"/>
        <item h="1" x="299"/>
        <item h="1" x="183"/>
        <item h="1" x="294"/>
        <item h="1" x="220"/>
        <item h="1" x="286"/>
        <item h="1" x="233"/>
        <item h="1" x="104"/>
        <item h="1" x="25"/>
        <item h="1" x="285"/>
        <item h="1" x="313"/>
        <item h="1" x="375"/>
        <item h="1" x="174"/>
        <item h="1" x="257"/>
        <item h="1" x="125"/>
        <item h="1" x="4"/>
        <item h="1" x="248"/>
        <item h="1" x="26"/>
        <item h="1" x="408"/>
        <item h="1" x="320"/>
        <item h="1" x="124"/>
        <item h="1" x="312"/>
        <item h="1" x="348"/>
        <item h="1" x="153"/>
        <item h="1" x="382"/>
        <item h="1" x="357"/>
        <item h="1" x="142"/>
        <item h="1" x="68"/>
        <item h="1" x="196"/>
        <item h="1" x="133"/>
        <item h="1" x="126"/>
        <item h="1" x="377"/>
        <item h="1" x="291"/>
        <item h="1" x="116"/>
        <item h="1" x="289"/>
        <item h="1" x="234"/>
        <item h="1" x="13"/>
        <item h="1" x="82"/>
        <item h="1" x="355"/>
        <item h="1" x="406"/>
        <item h="1" x="154"/>
        <item h="1" x="132"/>
        <item h="1" x="390"/>
        <item h="1" x="137"/>
        <item h="1" x="208"/>
        <item h="1" x="308"/>
        <item h="1" x="139"/>
        <item h="1" x="271"/>
        <item h="1" x="141"/>
        <item h="1" x="53"/>
        <item h="1" x="410"/>
        <item h="1" x="197"/>
        <item h="1" x="51"/>
        <item h="1" x="300"/>
        <item h="1" x="179"/>
        <item h="1" x="91"/>
        <item h="1" x="206"/>
        <item h="1" x="336"/>
        <item h="1" x="40"/>
        <item h="1" x="224"/>
        <item h="1" x="290"/>
        <item h="1" x="215"/>
        <item h="1" x="184"/>
        <item h="1" x="33"/>
        <item h="1" x="269"/>
        <item h="1" x="297"/>
        <item h="1" x="110"/>
        <item h="1" x="100"/>
        <item h="1" x="114"/>
        <item h="1" x="217"/>
        <item h="1" x="97"/>
        <item h="1" x="78"/>
        <item h="1" x="253"/>
        <item h="1" x="19"/>
        <item h="1" x="304"/>
        <item h="1" x="359"/>
        <item h="1" x="90"/>
        <item h="1" x="113"/>
        <item h="1" x="341"/>
        <item h="1" x="92"/>
        <item h="1" x="89"/>
        <item h="1" x="389"/>
        <item h="1" x="69"/>
        <item h="1" x="287"/>
        <item h="1" x="372"/>
        <item h="1" x="362"/>
        <item h="1" x="251"/>
        <item h="1" x="340"/>
        <item h="1" x="268"/>
        <item h="1" x="298"/>
        <item h="1" x="351"/>
        <item h="1" x="140"/>
        <item h="1" x="118"/>
        <item h="1" x="388"/>
        <item h="1" x="144"/>
        <item h="1" x="364"/>
        <item h="1" x="349"/>
        <item h="1" x="250"/>
        <item h="1" x="350"/>
        <item h="1" x="227"/>
        <item h="1" x="303"/>
        <item h="1" x="181"/>
        <item h="1" x="323"/>
        <item h="1" x="209"/>
        <item h="1" x="314"/>
        <item h="1" x="315"/>
        <item h="1" x="354"/>
        <item h="1" x="283"/>
        <item h="1" x="84"/>
        <item h="1" x="9"/>
        <item h="1" x="407"/>
        <item h="1" x="356"/>
        <item h="1" x="185"/>
        <item h="1" x="28"/>
        <item h="1" x="254"/>
        <item h="1" x="186"/>
        <item h="1" x="272"/>
        <item h="1" x="328"/>
        <item h="1" x="363"/>
        <item h="1" x="229"/>
        <item h="1" x="311"/>
        <item h="1" x="330"/>
        <item h="1" x="76"/>
        <item h="1" x="353"/>
        <item h="1" x="236"/>
        <item h="1" x="232"/>
        <item h="1" x="172"/>
        <item h="1" x="34"/>
        <item h="1" x="187"/>
        <item h="1" x="151"/>
        <item h="1" x="143"/>
        <item h="1" x="322"/>
        <item h="1" x="329"/>
        <item h="1" x="88"/>
        <item h="1" x="122"/>
        <item h="1" x="352"/>
        <item h="1" x="310"/>
        <item h="1" x="221"/>
        <item h="1" x="192"/>
        <item h="1" x="180"/>
        <item h="1" x="387"/>
        <item h="1" x="346"/>
        <item h="1" x="307"/>
        <item h="1" x="188"/>
        <item h="1" x="284"/>
        <item h="1" x="98"/>
        <item h="1" x="120"/>
        <item h="1" x="225"/>
        <item h="1" x="59"/>
        <item h="1" x="237"/>
        <item h="1" x="235"/>
        <item h="1" x="309"/>
        <item h="1" x="16"/>
        <item t="default"/>
      </items>
    </pivotField>
    <pivotField showAll="0"/>
    <pivotField showAll="0"/>
    <pivotField showAll="0"/>
    <pivotField showAll="0">
      <items count="17">
        <item x="11"/>
        <item x="3"/>
        <item x="4"/>
        <item x="8"/>
        <item x="14"/>
        <item x="9"/>
        <item x="10"/>
        <item x="7"/>
        <item x="1"/>
        <item x="13"/>
        <item x="5"/>
        <item x="0"/>
        <item x="12"/>
        <item x="15"/>
        <item x="2"/>
        <item x="6"/>
        <item t="default"/>
      </items>
    </pivotField>
    <pivotField showAll="0"/>
    <pivotField numFmtId="14" showAll="0">
      <items count="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axis="axisRow" showAll="0">
      <items count="4">
        <item x="0"/>
        <item x="1"/>
        <item x="2"/>
        <item t="default"/>
      </items>
    </pivotField>
    <pivotField dataField="1" showAll="0">
      <items count="3">
        <item x="0"/>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3"/>
  </rowFields>
  <rowItems count="4">
    <i>
      <x/>
    </i>
    <i>
      <x v="1"/>
    </i>
    <i>
      <x v="2"/>
    </i>
    <i t="grand">
      <x/>
    </i>
  </rowItems>
  <colItems count="1">
    <i/>
  </colItems>
  <dataFields count="1">
    <dataField name="Count of CENTURY" fld="14" subtotal="count" baseField="0" baseItem="0"/>
  </dataFields>
  <pivotTableStyleInfo name="PivotStyleLight16" showRowHeaders="1" showColHeaders="1" showRowStripes="0" showColStripes="0" showLastColumn="1"/>
  <filters count="1">
    <filter fld="12" type="dateBetween" evalOrder="-1" id="24"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17892B-3BFB-492A-B18B-88A2FF3EA39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L6" firstHeaderRow="1" firstDataRow="1" firstDataCol="1"/>
  <pivotFields count="19">
    <pivotField showAll="0"/>
    <pivotField showAll="0"/>
    <pivotField dataField="1" showAll="0">
      <items count="209">
        <item x="40"/>
        <item x="35"/>
        <item x="16"/>
        <item x="93"/>
        <item x="22"/>
        <item x="4"/>
        <item x="95"/>
        <item x="90"/>
        <item x="46"/>
        <item x="27"/>
        <item x="31"/>
        <item x="33"/>
        <item x="20"/>
        <item x="100"/>
        <item x="38"/>
        <item x="34"/>
        <item x="80"/>
        <item x="47"/>
        <item x="11"/>
        <item x="9"/>
        <item x="53"/>
        <item x="161"/>
        <item x="105"/>
        <item x="119"/>
        <item x="15"/>
        <item x="91"/>
        <item x="192"/>
        <item x="5"/>
        <item x="60"/>
        <item x="14"/>
        <item x="81"/>
        <item x="8"/>
        <item x="0"/>
        <item x="110"/>
        <item x="19"/>
        <item x="65"/>
        <item x="136"/>
        <item x="36"/>
        <item x="107"/>
        <item x="2"/>
        <item x="62"/>
        <item x="51"/>
        <item x="29"/>
        <item x="63"/>
        <item x="3"/>
        <item x="87"/>
        <item x="193"/>
        <item x="122"/>
        <item x="52"/>
        <item x="30"/>
        <item x="7"/>
        <item x="111"/>
        <item x="125"/>
        <item x="194"/>
        <item x="21"/>
        <item x="128"/>
        <item x="155"/>
        <item x="78"/>
        <item x="79"/>
        <item x="44"/>
        <item x="138"/>
        <item x="123"/>
        <item x="73"/>
        <item x="88"/>
        <item x="77"/>
        <item x="41"/>
        <item x="37"/>
        <item x="49"/>
        <item x="124"/>
        <item x="43"/>
        <item x="131"/>
        <item x="132"/>
        <item x="106"/>
        <item x="86"/>
        <item x="109"/>
        <item x="137"/>
        <item x="191"/>
        <item x="71"/>
        <item x="148"/>
        <item x="1"/>
        <item x="26"/>
        <item x="133"/>
        <item x="135"/>
        <item x="82"/>
        <item x="127"/>
        <item x="183"/>
        <item x="159"/>
        <item x="178"/>
        <item x="195"/>
        <item x="45"/>
        <item x="177"/>
        <item x="59"/>
        <item x="23"/>
        <item x="55"/>
        <item x="10"/>
        <item x="206"/>
        <item x="48"/>
        <item x="180"/>
        <item x="92"/>
        <item x="179"/>
        <item x="121"/>
        <item x="56"/>
        <item x="150"/>
        <item x="113"/>
        <item x="84"/>
        <item x="189"/>
        <item x="169"/>
        <item x="32"/>
        <item x="98"/>
        <item x="198"/>
        <item x="64"/>
        <item x="196"/>
        <item x="39"/>
        <item x="108"/>
        <item x="89"/>
        <item x="6"/>
        <item x="28"/>
        <item x="18"/>
        <item x="112"/>
        <item x="17"/>
        <item x="68"/>
        <item x="181"/>
        <item x="13"/>
        <item x="101"/>
        <item x="76"/>
        <item x="102"/>
        <item x="172"/>
        <item x="66"/>
        <item x="50"/>
        <item x="42"/>
        <item x="12"/>
        <item x="204"/>
        <item x="202"/>
        <item x="74"/>
        <item x="140"/>
        <item x="151"/>
        <item x="147"/>
        <item x="67"/>
        <item x="203"/>
        <item x="175"/>
        <item x="207"/>
        <item x="142"/>
        <item x="185"/>
        <item x="54"/>
        <item x="129"/>
        <item x="61"/>
        <item x="104"/>
        <item x="70"/>
        <item x="94"/>
        <item x="145"/>
        <item x="25"/>
        <item x="162"/>
        <item x="154"/>
        <item x="120"/>
        <item x="168"/>
        <item x="201"/>
        <item x="144"/>
        <item x="188"/>
        <item x="134"/>
        <item x="126"/>
        <item x="99"/>
        <item x="152"/>
        <item x="165"/>
        <item x="72"/>
        <item x="57"/>
        <item x="114"/>
        <item x="24"/>
        <item x="103"/>
        <item x="187"/>
        <item x="186"/>
        <item x="130"/>
        <item x="153"/>
        <item x="156"/>
        <item x="69"/>
        <item x="171"/>
        <item x="163"/>
        <item x="205"/>
        <item x="58"/>
        <item x="166"/>
        <item x="184"/>
        <item x="182"/>
        <item x="97"/>
        <item x="96"/>
        <item x="199"/>
        <item x="85"/>
        <item x="115"/>
        <item x="200"/>
        <item x="190"/>
        <item x="164"/>
        <item x="116"/>
        <item x="75"/>
        <item x="167"/>
        <item x="149"/>
        <item x="174"/>
        <item x="118"/>
        <item x="170"/>
        <item x="83"/>
        <item x="173"/>
        <item x="139"/>
        <item x="160"/>
        <item x="117"/>
        <item x="157"/>
        <item x="143"/>
        <item x="158"/>
        <item x="146"/>
        <item x="197"/>
        <item x="141"/>
        <item x="176"/>
        <item t="default"/>
      </items>
    </pivotField>
    <pivotField showAll="0"/>
    <pivotField showAll="0"/>
    <pivotField showAll="0"/>
    <pivotField showAll="0"/>
    <pivotField showAll="0"/>
    <pivotField showAll="0"/>
    <pivotField showAll="0"/>
    <pivotField showAll="0">
      <items count="17">
        <item x="11"/>
        <item x="3"/>
        <item x="4"/>
        <item x="8"/>
        <item x="14"/>
        <item x="9"/>
        <item x="10"/>
        <item x="7"/>
        <item x="1"/>
        <item x="13"/>
        <item x="5"/>
        <item x="0"/>
        <item x="12"/>
        <item x="15"/>
        <item x="2"/>
        <item x="6"/>
        <item t="default"/>
      </items>
    </pivotField>
    <pivotField showAll="0"/>
    <pivotField numFmtId="14" showAll="0">
      <items count="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axis="axisRow" showAll="0">
      <items count="4">
        <item x="0"/>
        <item x="1"/>
        <item x="2"/>
        <item t="default"/>
      </items>
    </pivotField>
    <pivotField showAll="0">
      <items count="3">
        <item x="0"/>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3"/>
  </rowFields>
  <rowItems count="4">
    <i>
      <x/>
    </i>
    <i>
      <x v="1"/>
    </i>
    <i>
      <x v="2"/>
    </i>
    <i t="grand">
      <x/>
    </i>
  </rowItems>
  <colItems count="1">
    <i/>
  </colItems>
  <dataFields count="1">
    <dataField name="Sum of MINTUES PLAYED" fld="2"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9DD87F-DBAE-4032-999E-7CA00F5FD2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2:I22" firstHeaderRow="1" firstDataRow="1" firstDataCol="1"/>
  <pivotFields count="19">
    <pivotField showAll="0"/>
    <pivotField dataField="1" showAll="0"/>
    <pivotField showAll="0"/>
    <pivotField showAll="0"/>
    <pivotField showAll="0"/>
    <pivotField showAll="0"/>
    <pivotField showAll="0"/>
    <pivotField showAll="0"/>
    <pivotField showAll="0"/>
    <pivotField showAll="0"/>
    <pivotField showAll="0">
      <items count="17">
        <item x="11"/>
        <item x="3"/>
        <item x="4"/>
        <item x="8"/>
        <item x="14"/>
        <item x="9"/>
        <item x="10"/>
        <item x="7"/>
        <item x="1"/>
        <item x="13"/>
        <item x="5"/>
        <item x="0"/>
        <item x="12"/>
        <item x="15"/>
        <item x="2"/>
        <item x="6"/>
        <item t="default"/>
      </items>
    </pivotField>
    <pivotField showAll="0"/>
    <pivotField axis="axisRow" numFmtId="14" showAll="0">
      <items count="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showAll="0">
      <items count="4">
        <item x="0"/>
        <item x="1"/>
        <item x="2"/>
        <item t="default"/>
      </items>
    </pivotField>
    <pivotField showAll="0">
      <items count="3">
        <item x="0"/>
        <item x="1"/>
        <item t="default"/>
      </items>
    </pivotField>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t="default"/>
      </items>
    </pivotField>
  </pivotFields>
  <rowFields count="4">
    <field x="18"/>
    <field x="17"/>
    <field x="16"/>
    <field x="12"/>
  </rowFields>
  <rowItems count="20">
    <i>
      <x v="1"/>
    </i>
    <i>
      <x v="2"/>
    </i>
    <i>
      <x v="3"/>
    </i>
    <i>
      <x v="4"/>
    </i>
    <i>
      <x v="5"/>
    </i>
    <i>
      <x v="6"/>
    </i>
    <i>
      <x v="7"/>
    </i>
    <i>
      <x v="8"/>
    </i>
    <i>
      <x v="9"/>
    </i>
    <i>
      <x v="10"/>
    </i>
    <i>
      <x v="11"/>
    </i>
    <i>
      <x v="12"/>
    </i>
    <i>
      <x v="13"/>
    </i>
    <i>
      <x v="14"/>
    </i>
    <i>
      <x v="15"/>
    </i>
    <i>
      <x v="16"/>
    </i>
    <i>
      <x v="17"/>
    </i>
    <i>
      <x v="18"/>
    </i>
    <i>
      <x v="19"/>
    </i>
    <i t="grand">
      <x/>
    </i>
  </rowItems>
  <colItems count="1">
    <i/>
  </colItems>
  <dataFields count="1">
    <dataField name="Sum of RUNS"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C1B709-D4D7-4091-9F7C-55A954AC49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B26" firstHeaderRow="1" firstDataRow="1" firstDataCol="1"/>
  <pivotFields count="19">
    <pivotField showAll="0"/>
    <pivotField dataField="1" showAll="0">
      <items count="148">
        <item x="15"/>
        <item x="29"/>
        <item x="4"/>
        <item x="43"/>
        <item x="36"/>
        <item x="82"/>
        <item x="69"/>
        <item x="39"/>
        <item x="27"/>
        <item x="11"/>
        <item x="8"/>
        <item x="19"/>
        <item x="0"/>
        <item x="86"/>
        <item x="33"/>
        <item x="37"/>
        <item x="5"/>
        <item x="127"/>
        <item x="52"/>
        <item x="68"/>
        <item x="45"/>
        <item x="54"/>
        <item x="25"/>
        <item x="46"/>
        <item x="31"/>
        <item x="2"/>
        <item x="18"/>
        <item x="9"/>
        <item x="20"/>
        <item x="73"/>
        <item x="7"/>
        <item x="3"/>
        <item x="109"/>
        <item x="92"/>
        <item x="28"/>
        <item x="32"/>
        <item x="83"/>
        <item x="1"/>
        <item x="59"/>
        <item x="85"/>
        <item x="66"/>
        <item x="70"/>
        <item x="112"/>
        <item x="71"/>
        <item x="48"/>
        <item x="99"/>
        <item x="78"/>
        <item x="124"/>
        <item x="95"/>
        <item x="65"/>
        <item x="63"/>
        <item x="42"/>
        <item x="24"/>
        <item x="38"/>
        <item x="96"/>
        <item x="14"/>
        <item x="61"/>
        <item x="30"/>
        <item x="131"/>
        <item x="74"/>
        <item x="87"/>
        <item x="23"/>
        <item x="137"/>
        <item x="103"/>
        <item x="53"/>
        <item x="80"/>
        <item x="17"/>
        <item x="64"/>
        <item x="125"/>
        <item x="84"/>
        <item x="136"/>
        <item x="135"/>
        <item x="49"/>
        <item x="108"/>
        <item x="51"/>
        <item x="67"/>
        <item x="6"/>
        <item x="47"/>
        <item x="34"/>
        <item x="16"/>
        <item x="143"/>
        <item x="101"/>
        <item x="41"/>
        <item x="110"/>
        <item x="141"/>
        <item x="97"/>
        <item x="94"/>
        <item x="12"/>
        <item x="115"/>
        <item x="145"/>
        <item x="35"/>
        <item x="140"/>
        <item x="77"/>
        <item x="128"/>
        <item x="75"/>
        <item x="26"/>
        <item x="142"/>
        <item x="13"/>
        <item x="62"/>
        <item x="118"/>
        <item x="22"/>
        <item x="58"/>
        <item x="10"/>
        <item x="56"/>
        <item x="114"/>
        <item x="111"/>
        <item x="40"/>
        <item x="117"/>
        <item x="133"/>
        <item x="72"/>
        <item x="50"/>
        <item x="44"/>
        <item x="21"/>
        <item x="76"/>
        <item x="132"/>
        <item x="116"/>
        <item x="106"/>
        <item x="79"/>
        <item x="146"/>
        <item x="60"/>
        <item x="123"/>
        <item x="113"/>
        <item x="55"/>
        <item x="144"/>
        <item x="81"/>
        <item x="93"/>
        <item x="88"/>
        <item x="129"/>
        <item x="89"/>
        <item x="91"/>
        <item x="126"/>
        <item x="121"/>
        <item x="102"/>
        <item x="130"/>
        <item x="122"/>
        <item x="138"/>
        <item x="104"/>
        <item x="90"/>
        <item x="57"/>
        <item x="139"/>
        <item x="98"/>
        <item x="107"/>
        <item x="100"/>
        <item x="119"/>
        <item x="105"/>
        <item x="120"/>
        <item x="134"/>
        <item t="default"/>
      </items>
    </pivotField>
    <pivotField showAll="0"/>
    <pivotField showAll="0"/>
    <pivotField showAll="0"/>
    <pivotField showAll="0"/>
    <pivotField showAll="0"/>
    <pivotField showAll="0"/>
    <pivotField showAll="0"/>
    <pivotField showAll="0"/>
    <pivotField axis="axisRow" showAll="0">
      <items count="17">
        <item x="11"/>
        <item x="3"/>
        <item x="4"/>
        <item x="8"/>
        <item x="14"/>
        <item x="9"/>
        <item x="10"/>
        <item x="7"/>
        <item x="1"/>
        <item x="13"/>
        <item x="5"/>
        <item x="0"/>
        <item x="12"/>
        <item x="15"/>
        <item x="2"/>
        <item x="6"/>
        <item t="default"/>
      </items>
    </pivotField>
    <pivotField showAll="0"/>
    <pivotField numFmtId="14" showAll="0">
      <items count="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0"/>
  </rowFields>
  <rowItems count="17">
    <i>
      <x/>
    </i>
    <i>
      <x v="1"/>
    </i>
    <i>
      <x v="2"/>
    </i>
    <i>
      <x v="3"/>
    </i>
    <i>
      <x v="4"/>
    </i>
    <i>
      <x v="5"/>
    </i>
    <i>
      <x v="6"/>
    </i>
    <i>
      <x v="7"/>
    </i>
    <i>
      <x v="8"/>
    </i>
    <i>
      <x v="9"/>
    </i>
    <i>
      <x v="10"/>
    </i>
    <i>
      <x v="11"/>
    </i>
    <i>
      <x v="12"/>
    </i>
    <i>
      <x v="13"/>
    </i>
    <i>
      <x v="14"/>
    </i>
    <i>
      <x v="15"/>
    </i>
    <i t="grand">
      <x/>
    </i>
  </rowItems>
  <colItems count="1">
    <i/>
  </colItems>
  <dataFields count="1">
    <dataField name="Sum of RUNS"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205819-EC2A-46CA-AE6D-DFB1A1B8777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11:P15" firstHeaderRow="1" firstDataRow="1" firstDataCol="1"/>
  <pivotFields count="19">
    <pivotField showAll="0"/>
    <pivotField showAll="0"/>
    <pivotField showAll="0">
      <items count="209">
        <item x="40"/>
        <item x="35"/>
        <item x="16"/>
        <item x="93"/>
        <item x="22"/>
        <item x="4"/>
        <item x="95"/>
        <item x="90"/>
        <item x="46"/>
        <item x="27"/>
        <item x="31"/>
        <item x="33"/>
        <item x="20"/>
        <item x="100"/>
        <item x="38"/>
        <item x="34"/>
        <item x="80"/>
        <item x="47"/>
        <item x="11"/>
        <item x="9"/>
        <item x="53"/>
        <item x="161"/>
        <item x="105"/>
        <item x="119"/>
        <item x="15"/>
        <item x="91"/>
        <item x="192"/>
        <item x="5"/>
        <item x="60"/>
        <item x="14"/>
        <item x="81"/>
        <item x="8"/>
        <item x="0"/>
        <item x="110"/>
        <item x="19"/>
        <item x="65"/>
        <item x="136"/>
        <item x="36"/>
        <item x="107"/>
        <item x="2"/>
        <item x="62"/>
        <item x="51"/>
        <item x="29"/>
        <item x="63"/>
        <item x="3"/>
        <item x="87"/>
        <item x="193"/>
        <item x="122"/>
        <item x="52"/>
        <item x="30"/>
        <item x="7"/>
        <item x="111"/>
        <item x="125"/>
        <item x="194"/>
        <item x="21"/>
        <item x="128"/>
        <item x="155"/>
        <item x="78"/>
        <item x="79"/>
        <item x="44"/>
        <item x="138"/>
        <item x="123"/>
        <item x="73"/>
        <item x="88"/>
        <item x="77"/>
        <item x="41"/>
        <item x="37"/>
        <item x="49"/>
        <item x="124"/>
        <item x="43"/>
        <item x="131"/>
        <item x="132"/>
        <item x="106"/>
        <item x="86"/>
        <item x="109"/>
        <item x="137"/>
        <item x="191"/>
        <item x="71"/>
        <item x="148"/>
        <item x="1"/>
        <item x="26"/>
        <item x="133"/>
        <item x="135"/>
        <item x="82"/>
        <item x="127"/>
        <item x="183"/>
        <item x="159"/>
        <item x="178"/>
        <item x="195"/>
        <item x="45"/>
        <item x="177"/>
        <item x="59"/>
        <item x="23"/>
        <item x="55"/>
        <item x="10"/>
        <item x="206"/>
        <item x="48"/>
        <item x="180"/>
        <item x="92"/>
        <item x="179"/>
        <item x="121"/>
        <item x="56"/>
        <item x="150"/>
        <item x="113"/>
        <item x="84"/>
        <item x="189"/>
        <item x="169"/>
        <item x="32"/>
        <item x="98"/>
        <item x="198"/>
        <item x="64"/>
        <item x="196"/>
        <item x="39"/>
        <item x="108"/>
        <item x="89"/>
        <item x="6"/>
        <item x="28"/>
        <item x="18"/>
        <item x="112"/>
        <item x="17"/>
        <item x="68"/>
        <item x="181"/>
        <item x="13"/>
        <item x="101"/>
        <item x="76"/>
        <item x="102"/>
        <item x="172"/>
        <item x="66"/>
        <item x="50"/>
        <item x="42"/>
        <item x="12"/>
        <item x="204"/>
        <item x="202"/>
        <item x="74"/>
        <item x="140"/>
        <item x="151"/>
        <item x="147"/>
        <item x="67"/>
        <item x="203"/>
        <item x="175"/>
        <item x="207"/>
        <item x="142"/>
        <item x="185"/>
        <item x="54"/>
        <item x="129"/>
        <item x="61"/>
        <item x="104"/>
        <item x="70"/>
        <item x="94"/>
        <item x="145"/>
        <item x="25"/>
        <item x="162"/>
        <item x="154"/>
        <item x="120"/>
        <item x="168"/>
        <item x="201"/>
        <item x="144"/>
        <item x="188"/>
        <item x="134"/>
        <item x="126"/>
        <item x="99"/>
        <item x="152"/>
        <item x="165"/>
        <item x="72"/>
        <item x="57"/>
        <item x="114"/>
        <item x="24"/>
        <item x="103"/>
        <item x="187"/>
        <item x="186"/>
        <item x="130"/>
        <item x="153"/>
        <item x="156"/>
        <item x="69"/>
        <item x="171"/>
        <item x="163"/>
        <item x="205"/>
        <item x="58"/>
        <item x="166"/>
        <item x="184"/>
        <item x="182"/>
        <item x="97"/>
        <item x="96"/>
        <item x="199"/>
        <item x="85"/>
        <item x="115"/>
        <item x="200"/>
        <item x="190"/>
        <item x="164"/>
        <item x="116"/>
        <item x="75"/>
        <item x="167"/>
        <item x="149"/>
        <item x="174"/>
        <item x="118"/>
        <item x="170"/>
        <item x="83"/>
        <item x="173"/>
        <item x="139"/>
        <item x="160"/>
        <item x="117"/>
        <item x="157"/>
        <item x="143"/>
        <item x="158"/>
        <item x="146"/>
        <item x="197"/>
        <item x="141"/>
        <item x="176"/>
        <item t="default"/>
      </items>
    </pivotField>
    <pivotField showAll="0"/>
    <pivotField showAll="0"/>
    <pivotField showAll="0"/>
    <pivotField showAll="0"/>
    <pivotField showAll="0"/>
    <pivotField showAll="0"/>
    <pivotField showAll="0"/>
    <pivotField showAll="0">
      <items count="17">
        <item x="11"/>
        <item x="3"/>
        <item x="4"/>
        <item x="8"/>
        <item x="14"/>
        <item x="9"/>
        <item x="10"/>
        <item x="7"/>
        <item x="1"/>
        <item x="13"/>
        <item x="5"/>
        <item x="0"/>
        <item x="12"/>
        <item x="15"/>
        <item x="2"/>
        <item x="6"/>
        <item t="default"/>
      </items>
    </pivotField>
    <pivotField showAll="0"/>
    <pivotField numFmtId="14" showAll="0">
      <items count="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axis="axisRow" showAll="0">
      <items count="4">
        <item x="0"/>
        <item x="1"/>
        <item x="2"/>
        <item t="default"/>
      </items>
    </pivotField>
    <pivotField showAll="0">
      <items count="3">
        <item x="0"/>
        <item x="1"/>
        <item t="default"/>
      </items>
    </pivotField>
    <pivotField dataField="1"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3"/>
  </rowFields>
  <rowItems count="4">
    <i>
      <x/>
    </i>
    <i>
      <x v="1"/>
    </i>
    <i>
      <x v="2"/>
    </i>
    <i t="grand">
      <x/>
    </i>
  </rowItems>
  <colItems count="1">
    <i/>
  </colItems>
  <dataFields count="1">
    <dataField name="Count of FIFTY"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RMAT" xr10:uid="{398548C2-AB59-4FDF-9F44-E81471ECD2BD}" sourceName="FORMAT">
  <pivotTables>
    <pivotTable tabId="2" name="PivotTable7"/>
    <pivotTable tabId="2" name="PivotTable1"/>
    <pivotTable tabId="2" name="PivotTable2"/>
    <pivotTable tabId="2" name="PivotTable3"/>
    <pivotTable tabId="2" name="PivotTable4"/>
    <pivotTable tabId="2" name="PivotTable5"/>
    <pivotTable tabId="2" name="PivotTable8"/>
    <pivotTable tabId="2" name="PivotTable6"/>
  </pivotTables>
  <data>
    <tabular pivotCacheId="128849399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URY" xr10:uid="{5AE7A96B-8977-4D4A-BB17-F2BD1BC500A1}" sourceName="CENTURY">
  <pivotTables>
    <pivotTable tabId="2" name="PivotTable7"/>
    <pivotTable tabId="2" name="PivotTable1"/>
    <pivotTable tabId="2" name="PivotTable2"/>
    <pivotTable tabId="2" name="PivotTable3"/>
    <pivotTable tabId="2" name="PivotTable4"/>
    <pivotTable tabId="2" name="PivotTable5"/>
    <pivotTable tabId="2" name="PivotTable8"/>
    <pivotTable tabId="2" name="PivotTable6"/>
  </pivotTables>
  <data>
    <tabular pivotCacheId="128849399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STION" xr10:uid="{0F02ED4D-DCD9-47EC-B5F0-8DF09EB54BCA}" sourceName="OPPOSTION">
  <pivotTables>
    <pivotTable tabId="2" name="PivotTable7"/>
    <pivotTable tabId="2" name="PivotTable1"/>
    <pivotTable tabId="2" name="PivotTable2"/>
    <pivotTable tabId="2" name="PivotTable3"/>
    <pivotTable tabId="2" name="PivotTable4"/>
    <pivotTable tabId="2" name="PivotTable5"/>
    <pivotTable tabId="2" name="PivotTable8"/>
    <pivotTable tabId="2" name="PivotTable6"/>
  </pivotTables>
  <data>
    <tabular pivotCacheId="1288493999">
      <items count="16">
        <i x="11" s="1"/>
        <i x="3" s="1"/>
        <i x="4" s="1"/>
        <i x="8" s="1"/>
        <i x="14" s="1"/>
        <i x="9" s="1"/>
        <i x="10" s="1"/>
        <i x="7" s="1"/>
        <i x="1" s="1"/>
        <i x="13" s="1"/>
        <i x="5" s="1"/>
        <i x="0" s="1"/>
        <i x="12" s="1"/>
        <i x="15"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MAT" xr10:uid="{9B41E743-CEEF-4166-94A4-2776732BE7F2}" cache="Slicer_FORMAT" caption="FORMAT" style="SlicerStyleDark6" rowHeight="234950"/>
  <slicer name="CENTURY" xr10:uid="{A1C5AF5A-32E8-4633-A1E5-165D59101746}" cache="Slicer_CENTURY" caption="CENTURY" style="SlicerStyleDark3" rowHeight="234950"/>
  <slicer name="OPPOSTION" xr10:uid="{3D7EF154-F424-4D24-93B5-35F7BD50CDAE}" cache="Slicer_OPPOSTION" caption="OPPOSTION"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91"/>
  <sheetViews>
    <sheetView topLeftCell="E152" zoomScale="99" workbookViewId="0">
      <selection activeCell="B3" sqref="B3"/>
    </sheetView>
  </sheetViews>
  <sheetFormatPr defaultRowHeight="14.4" x14ac:dyDescent="0.3"/>
  <cols>
    <col min="1" max="1" width="13.77734375" customWidth="1"/>
    <col min="3" max="3" width="18.6640625" customWidth="1"/>
    <col min="4" max="5" width="12.5546875" customWidth="1"/>
    <col min="7" max="7" width="13.88671875" customWidth="1"/>
    <col min="8" max="8" width="10.5546875" customWidth="1"/>
    <col min="9" max="10" width="15.44140625" customWidth="1"/>
    <col min="11" max="11" width="15" customWidth="1"/>
    <col min="12" max="12" width="16.6640625" customWidth="1"/>
    <col min="13" max="13" width="10.33203125" style="1" bestFit="1" customWidth="1"/>
  </cols>
  <sheetData>
    <row r="1" spans="1:16" x14ac:dyDescent="0.3">
      <c r="A1" t="s">
        <v>120</v>
      </c>
      <c r="B1" t="s">
        <v>105</v>
      </c>
      <c r="C1" t="s">
        <v>106</v>
      </c>
      <c r="D1" t="s">
        <v>107</v>
      </c>
      <c r="E1" t="s">
        <v>108</v>
      </c>
      <c r="F1" t="s">
        <v>109</v>
      </c>
      <c r="G1" t="s">
        <v>110</v>
      </c>
      <c r="H1" t="s">
        <v>111</v>
      </c>
      <c r="I1" t="s">
        <v>112</v>
      </c>
      <c r="J1" t="s">
        <v>113</v>
      </c>
      <c r="K1" t="s">
        <v>114</v>
      </c>
      <c r="L1" t="s">
        <v>115</v>
      </c>
      <c r="M1" s="1" t="s">
        <v>116</v>
      </c>
      <c r="N1" t="s">
        <v>117</v>
      </c>
      <c r="O1" t="s">
        <v>118</v>
      </c>
      <c r="P1" t="s">
        <v>119</v>
      </c>
    </row>
    <row r="2" spans="1:16" x14ac:dyDescent="0.3">
      <c r="A2">
        <v>1</v>
      </c>
      <c r="B2">
        <v>12</v>
      </c>
      <c r="C2">
        <v>33</v>
      </c>
      <c r="D2">
        <v>22</v>
      </c>
      <c r="E2">
        <v>1</v>
      </c>
      <c r="F2">
        <v>0</v>
      </c>
      <c r="G2">
        <v>54.54</v>
      </c>
      <c r="H2">
        <v>2</v>
      </c>
      <c r="I2" t="s">
        <v>4</v>
      </c>
      <c r="J2">
        <v>1</v>
      </c>
      <c r="K2" t="s">
        <v>74</v>
      </c>
      <c r="L2" t="s">
        <v>10</v>
      </c>
      <c r="M2" s="1">
        <v>39678</v>
      </c>
      <c r="N2" t="s">
        <v>103</v>
      </c>
      <c r="O2" t="str">
        <f>IF(B2&gt;100,"YES","NO")</f>
        <v>NO</v>
      </c>
      <c r="P2" t="str">
        <f>IF(AND(B2&gt;=50,B2&lt;100),"YES","NO")</f>
        <v>NO</v>
      </c>
    </row>
    <row r="3" spans="1:16" x14ac:dyDescent="0.3">
      <c r="A3">
        <v>2</v>
      </c>
      <c r="B3">
        <v>37</v>
      </c>
      <c r="C3">
        <v>82</v>
      </c>
      <c r="D3">
        <v>67</v>
      </c>
      <c r="E3">
        <v>6</v>
      </c>
      <c r="F3">
        <v>0</v>
      </c>
      <c r="G3">
        <v>55.22</v>
      </c>
      <c r="H3">
        <v>2</v>
      </c>
      <c r="I3" t="s">
        <v>0</v>
      </c>
      <c r="J3">
        <v>2</v>
      </c>
      <c r="K3" t="s">
        <v>74</v>
      </c>
      <c r="L3" t="s">
        <v>10</v>
      </c>
      <c r="M3" s="1">
        <v>39680</v>
      </c>
      <c r="N3" t="s">
        <v>103</v>
      </c>
      <c r="O3" t="str">
        <f t="shared" ref="O3:O66" si="0">IF(B3&gt;100,"YES","NO")</f>
        <v>NO</v>
      </c>
      <c r="P3" t="str">
        <f t="shared" ref="P3:P66" si="1">IF(AND(B3&gt;=50,B3&lt;100),"YES","NO")</f>
        <v>NO</v>
      </c>
    </row>
    <row r="4" spans="1:16" x14ac:dyDescent="0.3">
      <c r="A4">
        <v>3</v>
      </c>
      <c r="B4">
        <v>25</v>
      </c>
      <c r="C4">
        <v>40</v>
      </c>
      <c r="D4">
        <v>38</v>
      </c>
      <c r="E4">
        <v>4</v>
      </c>
      <c r="F4">
        <v>0</v>
      </c>
      <c r="G4">
        <v>65.78</v>
      </c>
      <c r="H4">
        <v>1</v>
      </c>
      <c r="I4" t="s">
        <v>64</v>
      </c>
      <c r="J4">
        <v>1</v>
      </c>
      <c r="K4" t="s">
        <v>74</v>
      </c>
      <c r="L4" t="s">
        <v>27</v>
      </c>
      <c r="M4" s="1">
        <v>39684</v>
      </c>
      <c r="N4" t="s">
        <v>103</v>
      </c>
      <c r="O4" t="str">
        <f t="shared" si="0"/>
        <v>NO</v>
      </c>
      <c r="P4" t="str">
        <f t="shared" si="1"/>
        <v>NO</v>
      </c>
    </row>
    <row r="5" spans="1:16" x14ac:dyDescent="0.3">
      <c r="A5">
        <v>4</v>
      </c>
      <c r="B5">
        <v>31</v>
      </c>
      <c r="C5">
        <v>45</v>
      </c>
      <c r="D5">
        <v>46</v>
      </c>
      <c r="E5">
        <v>3</v>
      </c>
      <c r="F5">
        <v>1</v>
      </c>
      <c r="G5">
        <v>67.39</v>
      </c>
      <c r="H5">
        <v>1</v>
      </c>
      <c r="I5" t="s">
        <v>4</v>
      </c>
      <c r="J5">
        <v>2</v>
      </c>
      <c r="K5" t="s">
        <v>74</v>
      </c>
      <c r="L5" t="s">
        <v>27</v>
      </c>
      <c r="M5" s="1">
        <v>39689</v>
      </c>
      <c r="N5" t="s">
        <v>103</v>
      </c>
      <c r="O5" t="str">
        <f t="shared" si="0"/>
        <v>NO</v>
      </c>
      <c r="P5" t="str">
        <f t="shared" si="1"/>
        <v>NO</v>
      </c>
    </row>
    <row r="6" spans="1:16" x14ac:dyDescent="0.3">
      <c r="A6">
        <v>5</v>
      </c>
      <c r="B6">
        <v>2</v>
      </c>
      <c r="C6">
        <v>6</v>
      </c>
      <c r="D6">
        <v>2</v>
      </c>
      <c r="E6">
        <v>0</v>
      </c>
      <c r="F6">
        <v>0</v>
      </c>
      <c r="G6">
        <v>100</v>
      </c>
      <c r="H6">
        <v>7</v>
      </c>
      <c r="I6" t="s">
        <v>66</v>
      </c>
      <c r="J6">
        <v>1</v>
      </c>
      <c r="K6" t="s">
        <v>74</v>
      </c>
      <c r="L6" t="s">
        <v>27</v>
      </c>
      <c r="M6" s="1">
        <v>40070</v>
      </c>
      <c r="N6" t="s">
        <v>103</v>
      </c>
      <c r="O6" t="str">
        <f t="shared" si="0"/>
        <v>NO</v>
      </c>
      <c r="P6" t="str">
        <f t="shared" si="1"/>
        <v>NO</v>
      </c>
    </row>
    <row r="7" spans="1:16" x14ac:dyDescent="0.3">
      <c r="A7">
        <v>6</v>
      </c>
      <c r="B7">
        <v>16</v>
      </c>
      <c r="C7">
        <v>28</v>
      </c>
      <c r="D7">
        <v>24</v>
      </c>
      <c r="E7">
        <v>1</v>
      </c>
      <c r="F7">
        <v>0</v>
      </c>
      <c r="G7">
        <v>66.66</v>
      </c>
      <c r="H7">
        <v>4</v>
      </c>
      <c r="I7" t="s">
        <v>0</v>
      </c>
      <c r="J7">
        <v>2</v>
      </c>
      <c r="K7" t="s">
        <v>84</v>
      </c>
      <c r="L7" t="s">
        <v>2</v>
      </c>
      <c r="M7" s="1">
        <v>40082</v>
      </c>
      <c r="N7" t="s">
        <v>103</v>
      </c>
      <c r="O7" t="str">
        <f t="shared" si="0"/>
        <v>NO</v>
      </c>
      <c r="P7" t="str">
        <f t="shared" si="1"/>
        <v>NO</v>
      </c>
    </row>
    <row r="8" spans="1:16" x14ac:dyDescent="0.3">
      <c r="A8">
        <v>7</v>
      </c>
      <c r="B8">
        <v>79</v>
      </c>
      <c r="C8">
        <v>121</v>
      </c>
      <c r="D8">
        <v>104</v>
      </c>
      <c r="E8">
        <v>9</v>
      </c>
      <c r="F8">
        <v>2</v>
      </c>
      <c r="G8">
        <v>75.959999999999994</v>
      </c>
      <c r="H8">
        <v>4</v>
      </c>
      <c r="I8" t="s">
        <v>66</v>
      </c>
      <c r="J8">
        <v>2</v>
      </c>
      <c r="K8" t="s">
        <v>60</v>
      </c>
      <c r="L8" t="s">
        <v>69</v>
      </c>
      <c r="M8" s="1">
        <v>40086</v>
      </c>
      <c r="N8" t="s">
        <v>103</v>
      </c>
      <c r="O8" t="str">
        <f t="shared" si="0"/>
        <v>NO</v>
      </c>
      <c r="P8" t="str">
        <f t="shared" si="1"/>
        <v>YES</v>
      </c>
    </row>
    <row r="9" spans="1:16" x14ac:dyDescent="0.3">
      <c r="A9">
        <v>8</v>
      </c>
      <c r="B9">
        <v>30</v>
      </c>
      <c r="C9">
        <v>53</v>
      </c>
      <c r="D9">
        <v>41</v>
      </c>
      <c r="E9">
        <v>3</v>
      </c>
      <c r="F9">
        <v>0</v>
      </c>
      <c r="G9">
        <v>73.17</v>
      </c>
      <c r="H9">
        <v>4</v>
      </c>
      <c r="I9" t="s">
        <v>0</v>
      </c>
      <c r="J9">
        <v>2</v>
      </c>
      <c r="K9" t="s">
        <v>63</v>
      </c>
      <c r="L9" t="s">
        <v>3</v>
      </c>
      <c r="M9" s="1">
        <v>40111</v>
      </c>
      <c r="N9" t="s">
        <v>103</v>
      </c>
      <c r="O9" t="str">
        <f t="shared" si="0"/>
        <v>NO</v>
      </c>
      <c r="P9" t="str">
        <f t="shared" si="1"/>
        <v>NO</v>
      </c>
    </row>
    <row r="10" spans="1:16" x14ac:dyDescent="0.3">
      <c r="A10">
        <v>9</v>
      </c>
      <c r="B10">
        <v>10</v>
      </c>
      <c r="C10">
        <v>32</v>
      </c>
      <c r="D10">
        <v>16</v>
      </c>
      <c r="E10">
        <v>1</v>
      </c>
      <c r="F10">
        <v>0</v>
      </c>
      <c r="G10">
        <v>62.5</v>
      </c>
      <c r="H10">
        <v>3</v>
      </c>
      <c r="I10" t="s">
        <v>0</v>
      </c>
      <c r="J10">
        <v>2</v>
      </c>
      <c r="K10" t="s">
        <v>63</v>
      </c>
      <c r="L10" t="s">
        <v>5</v>
      </c>
      <c r="M10" s="1">
        <v>40119</v>
      </c>
      <c r="N10" t="s">
        <v>103</v>
      </c>
      <c r="O10" t="str">
        <f t="shared" si="0"/>
        <v>NO</v>
      </c>
      <c r="P10" t="str">
        <f t="shared" si="1"/>
        <v>NO</v>
      </c>
    </row>
    <row r="11" spans="1:16" x14ac:dyDescent="0.3">
      <c r="A11">
        <v>10</v>
      </c>
      <c r="B11">
        <v>27</v>
      </c>
      <c r="C11">
        <v>20</v>
      </c>
      <c r="D11">
        <v>19</v>
      </c>
      <c r="E11">
        <v>4</v>
      </c>
      <c r="F11">
        <v>0</v>
      </c>
      <c r="G11">
        <v>142.1</v>
      </c>
      <c r="H11">
        <v>7</v>
      </c>
      <c r="I11" t="s">
        <v>7</v>
      </c>
      <c r="J11">
        <v>1</v>
      </c>
      <c r="K11" t="s">
        <v>74</v>
      </c>
      <c r="L11" t="s">
        <v>31</v>
      </c>
      <c r="M11" s="1">
        <v>40162</v>
      </c>
      <c r="N11" t="s">
        <v>103</v>
      </c>
      <c r="O11" t="str">
        <f t="shared" si="0"/>
        <v>NO</v>
      </c>
      <c r="P11" t="str">
        <f t="shared" si="1"/>
        <v>NO</v>
      </c>
    </row>
    <row r="12" spans="1:16" x14ac:dyDescent="0.3">
      <c r="A12">
        <v>11</v>
      </c>
      <c r="B12">
        <v>107</v>
      </c>
      <c r="C12">
        <v>100</v>
      </c>
      <c r="D12">
        <v>114</v>
      </c>
      <c r="E12">
        <v>11</v>
      </c>
      <c r="F12">
        <v>1</v>
      </c>
      <c r="G12">
        <v>93.85</v>
      </c>
      <c r="H12">
        <v>4</v>
      </c>
      <c r="I12" t="s">
        <v>0</v>
      </c>
      <c r="J12">
        <v>2</v>
      </c>
      <c r="K12" t="s">
        <v>74</v>
      </c>
      <c r="L12" t="s">
        <v>21</v>
      </c>
      <c r="M12" s="1">
        <v>40171</v>
      </c>
      <c r="N12" t="s">
        <v>103</v>
      </c>
      <c r="O12" t="str">
        <f t="shared" si="0"/>
        <v>YES</v>
      </c>
      <c r="P12" t="str">
        <f t="shared" si="1"/>
        <v>NO</v>
      </c>
    </row>
    <row r="13" spans="1:16" x14ac:dyDescent="0.3">
      <c r="A13">
        <v>12</v>
      </c>
      <c r="B13">
        <v>9</v>
      </c>
      <c r="C13">
        <v>19</v>
      </c>
      <c r="D13">
        <v>12</v>
      </c>
      <c r="E13">
        <v>1</v>
      </c>
      <c r="F13">
        <v>0</v>
      </c>
      <c r="G13">
        <v>75</v>
      </c>
      <c r="H13">
        <v>3</v>
      </c>
      <c r="I13" t="s">
        <v>0</v>
      </c>
      <c r="J13">
        <v>1</v>
      </c>
      <c r="K13" t="s">
        <v>74</v>
      </c>
      <c r="L13" t="s">
        <v>6</v>
      </c>
      <c r="M13" s="1">
        <v>40183</v>
      </c>
      <c r="N13" t="s">
        <v>103</v>
      </c>
      <c r="O13" t="str">
        <f t="shared" si="0"/>
        <v>NO</v>
      </c>
      <c r="P13" t="str">
        <f t="shared" si="1"/>
        <v>NO</v>
      </c>
    </row>
    <row r="14" spans="1:16" x14ac:dyDescent="0.3">
      <c r="A14">
        <v>13</v>
      </c>
      <c r="B14">
        <v>91</v>
      </c>
      <c r="C14">
        <v>136</v>
      </c>
      <c r="D14">
        <v>102</v>
      </c>
      <c r="E14">
        <v>7</v>
      </c>
      <c r="F14">
        <v>0</v>
      </c>
      <c r="G14">
        <v>89.21</v>
      </c>
      <c r="H14">
        <v>3</v>
      </c>
      <c r="I14" t="s">
        <v>0</v>
      </c>
      <c r="J14">
        <v>2</v>
      </c>
      <c r="K14" t="s">
        <v>73</v>
      </c>
      <c r="L14" t="s">
        <v>6</v>
      </c>
      <c r="M14" s="1">
        <v>40185</v>
      </c>
      <c r="N14" t="s">
        <v>103</v>
      </c>
      <c r="O14" t="str">
        <f t="shared" si="0"/>
        <v>NO</v>
      </c>
      <c r="P14" t="str">
        <f t="shared" si="1"/>
        <v>YES</v>
      </c>
    </row>
    <row r="15" spans="1:16" x14ac:dyDescent="0.3">
      <c r="A15">
        <v>14</v>
      </c>
      <c r="B15">
        <v>102</v>
      </c>
      <c r="C15">
        <v>128</v>
      </c>
      <c r="D15">
        <v>95</v>
      </c>
      <c r="E15">
        <v>11</v>
      </c>
      <c r="F15">
        <v>0</v>
      </c>
      <c r="G15">
        <v>107.36</v>
      </c>
      <c r="H15">
        <v>3</v>
      </c>
      <c r="I15" t="s">
        <v>66</v>
      </c>
      <c r="J15">
        <v>2</v>
      </c>
      <c r="K15" t="s">
        <v>73</v>
      </c>
      <c r="L15" t="s">
        <v>6</v>
      </c>
      <c r="M15" s="1">
        <v>40189</v>
      </c>
      <c r="N15" t="s">
        <v>103</v>
      </c>
      <c r="O15" t="str">
        <f t="shared" si="0"/>
        <v>YES</v>
      </c>
      <c r="P15" t="str">
        <f t="shared" si="1"/>
        <v>NO</v>
      </c>
    </row>
    <row r="16" spans="1:16" x14ac:dyDescent="0.3">
      <c r="A16">
        <v>15</v>
      </c>
      <c r="B16">
        <v>2</v>
      </c>
      <c r="C16">
        <v>6</v>
      </c>
      <c r="D16">
        <v>8</v>
      </c>
      <c r="E16">
        <v>0</v>
      </c>
      <c r="F16">
        <v>0</v>
      </c>
      <c r="G16">
        <v>25</v>
      </c>
      <c r="H16">
        <v>3</v>
      </c>
      <c r="I16" t="s">
        <v>0</v>
      </c>
      <c r="J16">
        <v>1</v>
      </c>
      <c r="K16" t="s">
        <v>74</v>
      </c>
      <c r="L16" t="s">
        <v>6</v>
      </c>
      <c r="M16" s="1">
        <v>40191</v>
      </c>
      <c r="N16" t="s">
        <v>103</v>
      </c>
      <c r="O16" t="str">
        <f t="shared" si="0"/>
        <v>NO</v>
      </c>
      <c r="P16" t="str">
        <f t="shared" si="1"/>
        <v>NO</v>
      </c>
    </row>
    <row r="17" spans="1:16" x14ac:dyDescent="0.3">
      <c r="A17">
        <v>16</v>
      </c>
      <c r="B17">
        <v>31</v>
      </c>
      <c r="C17">
        <v>30</v>
      </c>
      <c r="D17">
        <v>46</v>
      </c>
      <c r="E17">
        <v>1</v>
      </c>
      <c r="F17">
        <v>0</v>
      </c>
      <c r="G17">
        <v>67.39</v>
      </c>
      <c r="H17">
        <v>5</v>
      </c>
      <c r="I17" t="s">
        <v>0</v>
      </c>
      <c r="J17">
        <v>1</v>
      </c>
      <c r="K17" t="s">
        <v>68</v>
      </c>
      <c r="L17" t="s">
        <v>36</v>
      </c>
      <c r="M17" s="1">
        <v>40230</v>
      </c>
      <c r="N17" t="s">
        <v>103</v>
      </c>
      <c r="O17" t="str">
        <f t="shared" si="0"/>
        <v>NO</v>
      </c>
      <c r="P17" t="str">
        <f t="shared" si="1"/>
        <v>NO</v>
      </c>
    </row>
    <row r="18" spans="1:16" x14ac:dyDescent="0.3">
      <c r="A18">
        <v>17</v>
      </c>
      <c r="B18">
        <v>57</v>
      </c>
      <c r="C18">
        <v>25</v>
      </c>
      <c r="D18">
        <v>71</v>
      </c>
      <c r="E18">
        <v>4</v>
      </c>
      <c r="F18">
        <v>1</v>
      </c>
      <c r="G18">
        <v>80.28</v>
      </c>
      <c r="H18">
        <v>3</v>
      </c>
      <c r="I18" t="s">
        <v>0</v>
      </c>
      <c r="J18">
        <v>2</v>
      </c>
      <c r="K18" t="s">
        <v>68</v>
      </c>
      <c r="L18" t="s">
        <v>14</v>
      </c>
      <c r="M18" s="1">
        <v>40236</v>
      </c>
      <c r="N18" t="s">
        <v>103</v>
      </c>
      <c r="O18" t="str">
        <f t="shared" si="0"/>
        <v>NO</v>
      </c>
      <c r="P18" t="str">
        <f t="shared" si="1"/>
        <v>YES</v>
      </c>
    </row>
    <row r="19" spans="1:16" x14ac:dyDescent="0.3">
      <c r="A19">
        <v>18</v>
      </c>
      <c r="B19">
        <v>0</v>
      </c>
      <c r="C19">
        <v>3</v>
      </c>
      <c r="D19">
        <v>0</v>
      </c>
      <c r="E19">
        <v>0</v>
      </c>
      <c r="F19">
        <v>0</v>
      </c>
      <c r="G19" t="s">
        <v>1</v>
      </c>
      <c r="H19">
        <v>3</v>
      </c>
      <c r="I19" t="s">
        <v>64</v>
      </c>
      <c r="J19">
        <v>1</v>
      </c>
      <c r="K19" t="s">
        <v>82</v>
      </c>
      <c r="L19" t="s">
        <v>8</v>
      </c>
      <c r="M19" s="1">
        <v>40326</v>
      </c>
      <c r="N19" t="s">
        <v>103</v>
      </c>
      <c r="O19" t="str">
        <f t="shared" si="0"/>
        <v>NO</v>
      </c>
      <c r="P19" t="str">
        <f t="shared" si="1"/>
        <v>NO</v>
      </c>
    </row>
    <row r="20" spans="1:16" x14ac:dyDescent="0.3">
      <c r="A20">
        <v>19</v>
      </c>
      <c r="B20">
        <v>82</v>
      </c>
      <c r="C20">
        <v>125</v>
      </c>
      <c r="D20">
        <v>92</v>
      </c>
      <c r="E20">
        <v>4</v>
      </c>
      <c r="F20">
        <v>0</v>
      </c>
      <c r="G20">
        <v>89.13</v>
      </c>
      <c r="H20">
        <v>3</v>
      </c>
      <c r="I20" t="s">
        <v>0</v>
      </c>
      <c r="J20">
        <v>2</v>
      </c>
      <c r="K20" t="s">
        <v>74</v>
      </c>
      <c r="L20" t="s">
        <v>8</v>
      </c>
      <c r="M20" s="1">
        <v>40328</v>
      </c>
      <c r="N20" t="s">
        <v>103</v>
      </c>
      <c r="O20" t="str">
        <f t="shared" si="0"/>
        <v>NO</v>
      </c>
      <c r="P20" t="str">
        <f t="shared" si="1"/>
        <v>YES</v>
      </c>
    </row>
    <row r="21" spans="1:16" x14ac:dyDescent="0.3">
      <c r="A21">
        <v>20</v>
      </c>
      <c r="B21">
        <v>68</v>
      </c>
      <c r="C21">
        <v>123</v>
      </c>
      <c r="D21">
        <v>95</v>
      </c>
      <c r="E21">
        <v>5</v>
      </c>
      <c r="F21">
        <v>0</v>
      </c>
      <c r="G21">
        <v>71.569999999999993</v>
      </c>
      <c r="H21">
        <v>3</v>
      </c>
      <c r="I21" t="s">
        <v>0</v>
      </c>
      <c r="J21">
        <v>1</v>
      </c>
      <c r="K21" t="s">
        <v>74</v>
      </c>
      <c r="L21" t="s">
        <v>9</v>
      </c>
      <c r="M21" s="1">
        <v>40334</v>
      </c>
      <c r="N21" t="s">
        <v>103</v>
      </c>
      <c r="O21" t="str">
        <f t="shared" si="0"/>
        <v>NO</v>
      </c>
      <c r="P21" t="str">
        <f t="shared" si="1"/>
        <v>YES</v>
      </c>
    </row>
    <row r="22" spans="1:16" x14ac:dyDescent="0.3">
      <c r="A22">
        <v>21</v>
      </c>
      <c r="B22">
        <v>26</v>
      </c>
      <c r="C22">
        <v>30</v>
      </c>
      <c r="D22">
        <v>21</v>
      </c>
      <c r="E22">
        <v>3</v>
      </c>
      <c r="F22">
        <v>1</v>
      </c>
      <c r="G22">
        <v>123.8</v>
      </c>
      <c r="H22">
        <v>5</v>
      </c>
      <c r="I22" t="s">
        <v>66</v>
      </c>
      <c r="J22">
        <v>2</v>
      </c>
      <c r="K22" t="s">
        <v>82</v>
      </c>
      <c r="L22" t="s">
        <v>9</v>
      </c>
      <c r="M22" s="1">
        <v>40341</v>
      </c>
      <c r="N22" t="s">
        <v>104</v>
      </c>
      <c r="O22" t="str">
        <f t="shared" si="0"/>
        <v>NO</v>
      </c>
      <c r="P22" t="str">
        <f t="shared" si="1"/>
        <v>NO</v>
      </c>
    </row>
    <row r="23" spans="1:16" x14ac:dyDescent="0.3">
      <c r="A23">
        <v>22</v>
      </c>
      <c r="B23">
        <v>11</v>
      </c>
      <c r="C23">
        <v>35</v>
      </c>
      <c r="D23">
        <v>22</v>
      </c>
      <c r="E23">
        <v>0</v>
      </c>
      <c r="F23">
        <v>0</v>
      </c>
      <c r="G23">
        <v>50</v>
      </c>
      <c r="H23">
        <v>3</v>
      </c>
      <c r="I23" t="s">
        <v>37</v>
      </c>
      <c r="J23">
        <v>2</v>
      </c>
      <c r="K23" t="s">
        <v>73</v>
      </c>
      <c r="L23" t="s">
        <v>10</v>
      </c>
      <c r="M23" s="1">
        <v>40345</v>
      </c>
      <c r="N23" t="s">
        <v>103</v>
      </c>
      <c r="O23" t="str">
        <f t="shared" si="0"/>
        <v>NO</v>
      </c>
      <c r="P23" t="str">
        <f t="shared" si="1"/>
        <v>NO</v>
      </c>
    </row>
    <row r="24" spans="1:16" x14ac:dyDescent="0.3">
      <c r="A24">
        <v>23</v>
      </c>
      <c r="B24">
        <v>10</v>
      </c>
      <c r="C24">
        <v>13</v>
      </c>
      <c r="D24">
        <v>14</v>
      </c>
      <c r="E24">
        <v>1</v>
      </c>
      <c r="F24">
        <v>0</v>
      </c>
      <c r="G24">
        <v>71.42</v>
      </c>
      <c r="H24">
        <v>3</v>
      </c>
      <c r="I24" t="s">
        <v>0</v>
      </c>
      <c r="J24">
        <v>1</v>
      </c>
      <c r="K24" t="s">
        <v>74</v>
      </c>
      <c r="L24" t="s">
        <v>10</v>
      </c>
      <c r="M24" s="1">
        <v>40351</v>
      </c>
      <c r="N24" t="s">
        <v>103</v>
      </c>
      <c r="O24" t="str">
        <f t="shared" si="0"/>
        <v>NO</v>
      </c>
      <c r="P24" t="str">
        <f t="shared" si="1"/>
        <v>NO</v>
      </c>
    </row>
    <row r="25" spans="1:16" x14ac:dyDescent="0.3">
      <c r="A25">
        <v>24</v>
      </c>
      <c r="B25">
        <v>28</v>
      </c>
      <c r="C25">
        <v>57</v>
      </c>
      <c r="D25">
        <v>34</v>
      </c>
      <c r="E25">
        <v>4</v>
      </c>
      <c r="F25">
        <v>0</v>
      </c>
      <c r="G25">
        <v>82.35</v>
      </c>
      <c r="H25">
        <v>3</v>
      </c>
      <c r="I25" t="s">
        <v>0</v>
      </c>
      <c r="J25">
        <v>1</v>
      </c>
      <c r="K25" t="s">
        <v>74</v>
      </c>
      <c r="L25" t="s">
        <v>10</v>
      </c>
      <c r="M25" s="1">
        <v>40353</v>
      </c>
      <c r="N25" t="s">
        <v>103</v>
      </c>
      <c r="O25" t="str">
        <f t="shared" si="0"/>
        <v>NO</v>
      </c>
      <c r="P25" t="str">
        <f t="shared" si="1"/>
        <v>NO</v>
      </c>
    </row>
    <row r="26" spans="1:16" x14ac:dyDescent="0.3">
      <c r="A26">
        <v>25</v>
      </c>
      <c r="B26">
        <v>0</v>
      </c>
      <c r="C26">
        <v>5</v>
      </c>
      <c r="D26">
        <v>3</v>
      </c>
      <c r="E26">
        <v>0</v>
      </c>
      <c r="F26">
        <v>0</v>
      </c>
      <c r="G26">
        <v>0</v>
      </c>
      <c r="H26">
        <v>3</v>
      </c>
      <c r="I26" t="s">
        <v>0</v>
      </c>
      <c r="J26">
        <v>2</v>
      </c>
      <c r="K26" t="s">
        <v>74</v>
      </c>
      <c r="L26" t="s">
        <v>10</v>
      </c>
      <c r="M26" s="1">
        <v>40406</v>
      </c>
      <c r="N26" t="s">
        <v>103</v>
      </c>
      <c r="O26" t="str">
        <f t="shared" si="0"/>
        <v>NO</v>
      </c>
      <c r="P26" t="str">
        <f t="shared" si="1"/>
        <v>NO</v>
      </c>
    </row>
    <row r="27" spans="1:16" x14ac:dyDescent="0.3">
      <c r="A27">
        <v>26</v>
      </c>
      <c r="B27">
        <v>37</v>
      </c>
      <c r="C27">
        <v>98</v>
      </c>
      <c r="D27">
        <v>57</v>
      </c>
      <c r="E27">
        <v>5</v>
      </c>
      <c r="F27">
        <v>0</v>
      </c>
      <c r="G27">
        <v>64.91</v>
      </c>
      <c r="H27">
        <v>3</v>
      </c>
      <c r="I27" t="s">
        <v>0</v>
      </c>
      <c r="J27">
        <v>2</v>
      </c>
      <c r="K27" t="s">
        <v>74</v>
      </c>
      <c r="L27" t="s">
        <v>10</v>
      </c>
      <c r="M27" s="1">
        <v>40418</v>
      </c>
      <c r="N27" t="s">
        <v>103</v>
      </c>
      <c r="O27" t="str">
        <f t="shared" si="0"/>
        <v>NO</v>
      </c>
      <c r="P27" t="str">
        <f t="shared" si="1"/>
        <v>NO</v>
      </c>
    </row>
    <row r="28" spans="1:16" x14ac:dyDescent="0.3">
      <c r="A28">
        <v>27</v>
      </c>
      <c r="B28">
        <v>118</v>
      </c>
      <c r="C28">
        <v>193</v>
      </c>
      <c r="D28">
        <v>121</v>
      </c>
      <c r="E28">
        <v>11</v>
      </c>
      <c r="F28">
        <v>1</v>
      </c>
      <c r="G28">
        <v>97.52</v>
      </c>
      <c r="H28">
        <v>3</v>
      </c>
      <c r="I28" t="s">
        <v>0</v>
      </c>
      <c r="J28">
        <v>2</v>
      </c>
      <c r="K28" t="s">
        <v>63</v>
      </c>
      <c r="L28" t="s">
        <v>11</v>
      </c>
      <c r="M28" s="1">
        <v>40471</v>
      </c>
      <c r="N28" t="s">
        <v>103</v>
      </c>
      <c r="O28" t="str">
        <f t="shared" si="0"/>
        <v>YES</v>
      </c>
      <c r="P28" t="str">
        <f t="shared" si="1"/>
        <v>NO</v>
      </c>
    </row>
    <row r="29" spans="1:16" x14ac:dyDescent="0.3">
      <c r="A29">
        <v>28</v>
      </c>
      <c r="B29">
        <v>105</v>
      </c>
      <c r="C29">
        <v>162</v>
      </c>
      <c r="D29">
        <v>104</v>
      </c>
      <c r="E29">
        <v>10</v>
      </c>
      <c r="F29">
        <v>0</v>
      </c>
      <c r="G29">
        <v>100.96</v>
      </c>
      <c r="H29">
        <v>3</v>
      </c>
      <c r="I29" t="s">
        <v>0</v>
      </c>
      <c r="J29">
        <v>1</v>
      </c>
      <c r="K29" t="s">
        <v>65</v>
      </c>
      <c r="L29" t="s">
        <v>47</v>
      </c>
      <c r="M29" s="1">
        <v>40510</v>
      </c>
      <c r="N29" t="s">
        <v>103</v>
      </c>
      <c r="O29" t="str">
        <f t="shared" si="0"/>
        <v>YES</v>
      </c>
      <c r="P29" t="str">
        <f t="shared" si="1"/>
        <v>NO</v>
      </c>
    </row>
    <row r="30" spans="1:16" x14ac:dyDescent="0.3">
      <c r="A30">
        <v>29</v>
      </c>
      <c r="B30">
        <v>63</v>
      </c>
      <c r="C30">
        <v>83</v>
      </c>
      <c r="D30">
        <v>70</v>
      </c>
      <c r="E30">
        <v>6</v>
      </c>
      <c r="F30">
        <v>2</v>
      </c>
      <c r="G30">
        <v>90</v>
      </c>
      <c r="H30">
        <v>3</v>
      </c>
      <c r="I30" t="s">
        <v>66</v>
      </c>
      <c r="J30">
        <v>2</v>
      </c>
      <c r="K30" t="s">
        <v>65</v>
      </c>
      <c r="L30" t="s">
        <v>3</v>
      </c>
      <c r="M30" s="1">
        <v>40516</v>
      </c>
      <c r="N30" t="s">
        <v>103</v>
      </c>
      <c r="O30" t="str">
        <f t="shared" si="0"/>
        <v>NO</v>
      </c>
      <c r="P30" t="str">
        <f t="shared" si="1"/>
        <v>YES</v>
      </c>
    </row>
    <row r="31" spans="1:16" x14ac:dyDescent="0.3">
      <c r="A31">
        <v>30</v>
      </c>
      <c r="B31">
        <v>0</v>
      </c>
      <c r="C31">
        <v>3</v>
      </c>
      <c r="D31">
        <v>2</v>
      </c>
      <c r="E31">
        <v>0</v>
      </c>
      <c r="F31">
        <v>0</v>
      </c>
      <c r="G31">
        <v>0</v>
      </c>
      <c r="H31">
        <v>3</v>
      </c>
      <c r="I31" t="s">
        <v>0</v>
      </c>
      <c r="J31">
        <v>2</v>
      </c>
      <c r="K31" t="s">
        <v>65</v>
      </c>
      <c r="L31" t="s">
        <v>12</v>
      </c>
      <c r="M31" s="1">
        <v>40519</v>
      </c>
      <c r="N31" t="s">
        <v>103</v>
      </c>
      <c r="O31" t="str">
        <f t="shared" si="0"/>
        <v>NO</v>
      </c>
      <c r="P31" t="str">
        <f t="shared" si="1"/>
        <v>NO</v>
      </c>
    </row>
    <row r="32" spans="1:16" x14ac:dyDescent="0.3">
      <c r="A32">
        <v>31</v>
      </c>
      <c r="B32">
        <v>2</v>
      </c>
      <c r="C32">
        <v>10</v>
      </c>
      <c r="D32">
        <v>8</v>
      </c>
      <c r="E32">
        <v>0</v>
      </c>
      <c r="F32">
        <v>0</v>
      </c>
      <c r="G32">
        <v>25</v>
      </c>
      <c r="H32">
        <v>3</v>
      </c>
      <c r="I32" t="s">
        <v>0</v>
      </c>
      <c r="J32">
        <v>2</v>
      </c>
      <c r="K32" t="s">
        <v>65</v>
      </c>
      <c r="L32" t="s">
        <v>30</v>
      </c>
      <c r="M32" s="1">
        <v>40522</v>
      </c>
      <c r="N32" t="s">
        <v>103</v>
      </c>
      <c r="O32" t="str">
        <f t="shared" si="0"/>
        <v>NO</v>
      </c>
      <c r="P32" t="str">
        <f t="shared" si="1"/>
        <v>NO</v>
      </c>
    </row>
    <row r="33" spans="1:16" x14ac:dyDescent="0.3">
      <c r="A33">
        <v>32</v>
      </c>
      <c r="B33">
        <v>28</v>
      </c>
      <c r="C33">
        <v>28</v>
      </c>
      <c r="D33">
        <v>19</v>
      </c>
      <c r="E33">
        <v>5</v>
      </c>
      <c r="F33">
        <v>0</v>
      </c>
      <c r="G33">
        <v>147.36000000000001</v>
      </c>
      <c r="H33">
        <v>1</v>
      </c>
      <c r="I33" t="s">
        <v>7</v>
      </c>
      <c r="J33">
        <v>1</v>
      </c>
      <c r="K33" t="s">
        <v>68</v>
      </c>
      <c r="L33" t="s">
        <v>70</v>
      </c>
      <c r="M33" s="1">
        <v>40552</v>
      </c>
      <c r="N33" t="s">
        <v>104</v>
      </c>
      <c r="O33" t="str">
        <f t="shared" si="0"/>
        <v>NO</v>
      </c>
      <c r="P33" t="str">
        <f t="shared" si="1"/>
        <v>NO</v>
      </c>
    </row>
    <row r="34" spans="1:16" x14ac:dyDescent="0.3">
      <c r="A34">
        <v>33</v>
      </c>
      <c r="B34">
        <v>54</v>
      </c>
      <c r="C34">
        <v>122</v>
      </c>
      <c r="D34">
        <v>70</v>
      </c>
      <c r="E34">
        <v>2</v>
      </c>
      <c r="F34">
        <v>1</v>
      </c>
      <c r="G34">
        <v>77.14</v>
      </c>
      <c r="H34">
        <v>3</v>
      </c>
      <c r="I34" t="s">
        <v>0</v>
      </c>
      <c r="J34">
        <v>2</v>
      </c>
      <c r="K34" t="s">
        <v>68</v>
      </c>
      <c r="L34" t="s">
        <v>70</v>
      </c>
      <c r="M34" s="1">
        <v>40555</v>
      </c>
      <c r="N34" t="s">
        <v>103</v>
      </c>
      <c r="O34" t="str">
        <f t="shared" si="0"/>
        <v>NO</v>
      </c>
      <c r="P34" t="str">
        <f t="shared" si="1"/>
        <v>YES</v>
      </c>
    </row>
    <row r="35" spans="1:16" x14ac:dyDescent="0.3">
      <c r="A35">
        <v>34</v>
      </c>
      <c r="B35">
        <v>22</v>
      </c>
      <c r="C35">
        <v>43</v>
      </c>
      <c r="D35">
        <v>34</v>
      </c>
      <c r="E35">
        <v>1</v>
      </c>
      <c r="F35">
        <v>0</v>
      </c>
      <c r="G35">
        <v>64.7</v>
      </c>
      <c r="H35">
        <v>3</v>
      </c>
      <c r="I35" t="s">
        <v>64</v>
      </c>
      <c r="J35">
        <v>1</v>
      </c>
      <c r="K35" t="s">
        <v>68</v>
      </c>
      <c r="L35" t="s">
        <v>69</v>
      </c>
      <c r="M35" s="1">
        <v>40558</v>
      </c>
      <c r="N35" t="s">
        <v>103</v>
      </c>
      <c r="O35" t="str">
        <f t="shared" si="0"/>
        <v>NO</v>
      </c>
      <c r="P35" t="str">
        <f t="shared" si="1"/>
        <v>NO</v>
      </c>
    </row>
    <row r="36" spans="1:16" x14ac:dyDescent="0.3">
      <c r="A36">
        <v>35</v>
      </c>
      <c r="B36">
        <v>28</v>
      </c>
      <c r="C36">
        <v>51</v>
      </c>
      <c r="D36">
        <v>41</v>
      </c>
      <c r="E36">
        <v>5</v>
      </c>
      <c r="F36">
        <v>0</v>
      </c>
      <c r="G36">
        <v>68.290000000000006</v>
      </c>
      <c r="H36">
        <v>3</v>
      </c>
      <c r="I36" t="s">
        <v>0</v>
      </c>
      <c r="J36">
        <v>2</v>
      </c>
      <c r="K36" t="s">
        <v>68</v>
      </c>
      <c r="L36" t="s">
        <v>80</v>
      </c>
      <c r="M36" s="1">
        <v>40561</v>
      </c>
      <c r="N36" t="s">
        <v>103</v>
      </c>
      <c r="O36" t="str">
        <f t="shared" si="0"/>
        <v>NO</v>
      </c>
      <c r="P36" t="str">
        <f t="shared" si="1"/>
        <v>NO</v>
      </c>
    </row>
    <row r="37" spans="1:16" x14ac:dyDescent="0.3">
      <c r="A37">
        <v>36</v>
      </c>
      <c r="B37">
        <v>2</v>
      </c>
      <c r="C37">
        <v>11</v>
      </c>
      <c r="D37">
        <v>6</v>
      </c>
      <c r="E37">
        <v>0</v>
      </c>
      <c r="F37">
        <v>0</v>
      </c>
      <c r="G37">
        <v>33.33</v>
      </c>
      <c r="H37">
        <v>3</v>
      </c>
      <c r="I37" t="s">
        <v>0</v>
      </c>
      <c r="J37">
        <v>2</v>
      </c>
      <c r="K37" t="s">
        <v>68</v>
      </c>
      <c r="L37" t="s">
        <v>2</v>
      </c>
      <c r="M37" s="1">
        <v>40566</v>
      </c>
      <c r="N37" t="s">
        <v>103</v>
      </c>
      <c r="O37" t="str">
        <f t="shared" si="0"/>
        <v>NO</v>
      </c>
      <c r="P37" t="str">
        <f t="shared" si="1"/>
        <v>NO</v>
      </c>
    </row>
    <row r="38" spans="1:16" x14ac:dyDescent="0.3">
      <c r="A38">
        <v>37</v>
      </c>
      <c r="B38">
        <v>100</v>
      </c>
      <c r="C38">
        <v>113</v>
      </c>
      <c r="D38">
        <v>83</v>
      </c>
      <c r="E38">
        <v>8</v>
      </c>
      <c r="F38">
        <v>2</v>
      </c>
      <c r="G38">
        <v>120.48</v>
      </c>
      <c r="H38">
        <v>4</v>
      </c>
      <c r="I38" t="s">
        <v>66</v>
      </c>
      <c r="J38">
        <v>1</v>
      </c>
      <c r="K38" t="s">
        <v>73</v>
      </c>
      <c r="L38" t="s">
        <v>6</v>
      </c>
      <c r="M38" s="1">
        <v>40593</v>
      </c>
      <c r="N38" t="s">
        <v>103</v>
      </c>
      <c r="O38" t="str">
        <f t="shared" si="0"/>
        <v>NO</v>
      </c>
      <c r="P38" t="str">
        <f t="shared" si="1"/>
        <v>NO</v>
      </c>
    </row>
    <row r="39" spans="1:16" x14ac:dyDescent="0.3">
      <c r="A39">
        <v>38</v>
      </c>
      <c r="B39">
        <v>8</v>
      </c>
      <c r="C39">
        <v>12</v>
      </c>
      <c r="D39">
        <v>5</v>
      </c>
      <c r="E39">
        <v>1</v>
      </c>
      <c r="F39">
        <v>0</v>
      </c>
      <c r="G39">
        <v>160</v>
      </c>
      <c r="H39">
        <v>7</v>
      </c>
      <c r="I39" t="s">
        <v>7</v>
      </c>
      <c r="J39">
        <v>1</v>
      </c>
      <c r="K39" t="s">
        <v>67</v>
      </c>
      <c r="L39" t="s">
        <v>12</v>
      </c>
      <c r="M39" s="1">
        <v>40601</v>
      </c>
      <c r="N39" t="s">
        <v>103</v>
      </c>
      <c r="O39" t="str">
        <f t="shared" si="0"/>
        <v>NO</v>
      </c>
      <c r="P39" t="str">
        <f t="shared" si="1"/>
        <v>NO</v>
      </c>
    </row>
    <row r="40" spans="1:16" x14ac:dyDescent="0.3">
      <c r="A40">
        <v>39</v>
      </c>
      <c r="B40">
        <v>34</v>
      </c>
      <c r="C40">
        <v>82</v>
      </c>
      <c r="D40">
        <v>53</v>
      </c>
      <c r="E40">
        <v>3</v>
      </c>
      <c r="F40">
        <v>0</v>
      </c>
      <c r="G40">
        <v>64.150000000000006</v>
      </c>
      <c r="H40">
        <v>4</v>
      </c>
      <c r="I40" t="s">
        <v>64</v>
      </c>
      <c r="J40">
        <v>2</v>
      </c>
      <c r="K40" t="s">
        <v>88</v>
      </c>
      <c r="L40" t="s">
        <v>12</v>
      </c>
      <c r="M40" s="1">
        <v>40608</v>
      </c>
      <c r="N40" t="s">
        <v>103</v>
      </c>
      <c r="O40" t="str">
        <f t="shared" si="0"/>
        <v>NO</v>
      </c>
      <c r="P40" t="str">
        <f t="shared" si="1"/>
        <v>NO</v>
      </c>
    </row>
    <row r="41" spans="1:16" x14ac:dyDescent="0.3">
      <c r="A41">
        <v>40</v>
      </c>
      <c r="B41">
        <v>12</v>
      </c>
      <c r="C41">
        <v>16</v>
      </c>
      <c r="D41">
        <v>20</v>
      </c>
      <c r="E41">
        <v>2</v>
      </c>
      <c r="F41">
        <v>0</v>
      </c>
      <c r="G41">
        <v>60</v>
      </c>
      <c r="H41">
        <v>5</v>
      </c>
      <c r="I41" t="s">
        <v>7</v>
      </c>
      <c r="J41">
        <v>2</v>
      </c>
      <c r="K41" t="s">
        <v>91</v>
      </c>
      <c r="L41" t="s">
        <v>13</v>
      </c>
      <c r="M41" s="1">
        <v>40611</v>
      </c>
      <c r="N41" t="s">
        <v>103</v>
      </c>
      <c r="O41" t="str">
        <f t="shared" si="0"/>
        <v>NO</v>
      </c>
      <c r="P41" t="str">
        <f t="shared" si="1"/>
        <v>NO</v>
      </c>
    </row>
    <row r="42" spans="1:16" x14ac:dyDescent="0.3">
      <c r="A42">
        <v>41</v>
      </c>
      <c r="B42">
        <v>1</v>
      </c>
      <c r="C42">
        <v>2</v>
      </c>
      <c r="D42">
        <v>3</v>
      </c>
      <c r="E42">
        <v>0</v>
      </c>
      <c r="F42">
        <v>0</v>
      </c>
      <c r="G42">
        <v>33.33</v>
      </c>
      <c r="H42">
        <v>7</v>
      </c>
      <c r="I42" t="s">
        <v>0</v>
      </c>
      <c r="J42">
        <v>1</v>
      </c>
      <c r="K42" t="s">
        <v>68</v>
      </c>
      <c r="L42" t="s">
        <v>28</v>
      </c>
      <c r="M42" s="1">
        <v>40614</v>
      </c>
      <c r="N42" t="s">
        <v>103</v>
      </c>
      <c r="O42" t="str">
        <f t="shared" si="0"/>
        <v>NO</v>
      </c>
      <c r="P42" t="str">
        <f t="shared" si="1"/>
        <v>NO</v>
      </c>
    </row>
    <row r="43" spans="1:16" x14ac:dyDescent="0.3">
      <c r="A43">
        <v>42</v>
      </c>
      <c r="B43">
        <v>59</v>
      </c>
      <c r="C43">
        <v>128</v>
      </c>
      <c r="D43">
        <v>76</v>
      </c>
      <c r="E43">
        <v>5</v>
      </c>
      <c r="F43">
        <v>0</v>
      </c>
      <c r="G43">
        <v>77.63</v>
      </c>
      <c r="H43">
        <v>3</v>
      </c>
      <c r="I43" t="s">
        <v>7</v>
      </c>
      <c r="J43">
        <v>1</v>
      </c>
      <c r="K43" t="s">
        <v>60</v>
      </c>
      <c r="L43" t="s">
        <v>30</v>
      </c>
      <c r="M43" s="1">
        <v>40622</v>
      </c>
      <c r="N43" t="s">
        <v>103</v>
      </c>
      <c r="O43" t="str">
        <f t="shared" si="0"/>
        <v>NO</v>
      </c>
      <c r="P43" t="str">
        <f t="shared" si="1"/>
        <v>YES</v>
      </c>
    </row>
    <row r="44" spans="1:16" x14ac:dyDescent="0.3">
      <c r="A44">
        <v>43</v>
      </c>
      <c r="B44">
        <v>24</v>
      </c>
      <c r="C44">
        <v>38</v>
      </c>
      <c r="D44">
        <v>33</v>
      </c>
      <c r="E44">
        <v>1</v>
      </c>
      <c r="F44">
        <v>0</v>
      </c>
      <c r="G44">
        <v>72.72</v>
      </c>
      <c r="H44">
        <v>4</v>
      </c>
      <c r="I44" t="s">
        <v>0</v>
      </c>
      <c r="J44">
        <v>2</v>
      </c>
      <c r="K44" t="s">
        <v>63</v>
      </c>
      <c r="L44" t="s">
        <v>14</v>
      </c>
      <c r="M44" s="1">
        <v>40626</v>
      </c>
      <c r="N44" t="s">
        <v>103</v>
      </c>
      <c r="O44" t="str">
        <f t="shared" si="0"/>
        <v>NO</v>
      </c>
      <c r="P44" t="str">
        <f t="shared" si="1"/>
        <v>NO</v>
      </c>
    </row>
    <row r="45" spans="1:16" x14ac:dyDescent="0.3">
      <c r="A45">
        <v>44</v>
      </c>
      <c r="B45">
        <v>9</v>
      </c>
      <c r="C45">
        <v>20</v>
      </c>
      <c r="D45">
        <v>21</v>
      </c>
      <c r="E45">
        <v>0</v>
      </c>
      <c r="F45">
        <v>0</v>
      </c>
      <c r="G45">
        <v>42.85</v>
      </c>
      <c r="H45">
        <v>4</v>
      </c>
      <c r="I45" t="s">
        <v>0</v>
      </c>
      <c r="J45">
        <v>1</v>
      </c>
      <c r="K45" t="s">
        <v>84</v>
      </c>
      <c r="L45" t="s">
        <v>5</v>
      </c>
      <c r="M45" s="1">
        <v>40632</v>
      </c>
      <c r="N45" t="s">
        <v>103</v>
      </c>
      <c r="O45" t="str">
        <f t="shared" si="0"/>
        <v>NO</v>
      </c>
      <c r="P45" t="str">
        <f t="shared" si="1"/>
        <v>NO</v>
      </c>
    </row>
    <row r="46" spans="1:16" x14ac:dyDescent="0.3">
      <c r="A46">
        <v>45</v>
      </c>
      <c r="B46">
        <v>35</v>
      </c>
      <c r="C46">
        <v>69</v>
      </c>
      <c r="D46">
        <v>49</v>
      </c>
      <c r="E46">
        <v>4</v>
      </c>
      <c r="F46">
        <v>0</v>
      </c>
      <c r="G46">
        <v>71.42</v>
      </c>
      <c r="H46">
        <v>4</v>
      </c>
      <c r="I46" t="s">
        <v>0</v>
      </c>
      <c r="J46">
        <v>2</v>
      </c>
      <c r="K46" t="s">
        <v>74</v>
      </c>
      <c r="L46" t="s">
        <v>20</v>
      </c>
      <c r="M46" s="1">
        <v>40635</v>
      </c>
      <c r="N46" t="s">
        <v>103</v>
      </c>
      <c r="O46" t="str">
        <f t="shared" si="0"/>
        <v>NO</v>
      </c>
      <c r="P46" t="str">
        <f t="shared" si="1"/>
        <v>NO</v>
      </c>
    </row>
    <row r="47" spans="1:16" x14ac:dyDescent="0.3">
      <c r="A47">
        <v>46</v>
      </c>
      <c r="B47">
        <v>14</v>
      </c>
      <c r="C47">
        <v>15</v>
      </c>
      <c r="D47">
        <v>12</v>
      </c>
      <c r="E47">
        <v>2</v>
      </c>
      <c r="F47">
        <v>0</v>
      </c>
      <c r="G47">
        <v>116.66</v>
      </c>
      <c r="H47">
        <v>3</v>
      </c>
      <c r="I47" t="s">
        <v>0</v>
      </c>
      <c r="J47">
        <v>1</v>
      </c>
      <c r="K47" t="s">
        <v>60</v>
      </c>
      <c r="L47" t="s">
        <v>78</v>
      </c>
      <c r="M47" s="1">
        <v>40698</v>
      </c>
      <c r="N47" t="s">
        <v>104</v>
      </c>
      <c r="O47" t="str">
        <f t="shared" si="0"/>
        <v>NO</v>
      </c>
      <c r="P47" t="str">
        <f t="shared" si="1"/>
        <v>NO</v>
      </c>
    </row>
    <row r="48" spans="1:16" x14ac:dyDescent="0.3">
      <c r="A48">
        <v>47</v>
      </c>
      <c r="B48">
        <v>2</v>
      </c>
      <c r="C48">
        <v>5</v>
      </c>
      <c r="D48">
        <v>8</v>
      </c>
      <c r="E48">
        <v>0</v>
      </c>
      <c r="F48">
        <v>0</v>
      </c>
      <c r="G48">
        <v>25</v>
      </c>
      <c r="H48">
        <v>3</v>
      </c>
      <c r="I48" t="s">
        <v>0</v>
      </c>
      <c r="J48">
        <v>2</v>
      </c>
      <c r="K48" t="s">
        <v>60</v>
      </c>
      <c r="L48" t="s">
        <v>78</v>
      </c>
      <c r="M48" s="1">
        <v>40700</v>
      </c>
      <c r="N48" t="s">
        <v>103</v>
      </c>
      <c r="O48" t="str">
        <f t="shared" si="0"/>
        <v>NO</v>
      </c>
      <c r="P48" t="str">
        <f t="shared" si="1"/>
        <v>NO</v>
      </c>
    </row>
    <row r="49" spans="1:16" x14ac:dyDescent="0.3">
      <c r="A49">
        <v>48</v>
      </c>
      <c r="B49">
        <v>81</v>
      </c>
      <c r="C49">
        <v>118</v>
      </c>
      <c r="D49">
        <v>103</v>
      </c>
      <c r="E49">
        <v>6</v>
      </c>
      <c r="F49">
        <v>1</v>
      </c>
      <c r="G49">
        <v>78.64</v>
      </c>
      <c r="H49">
        <v>3</v>
      </c>
      <c r="I49" t="s">
        <v>0</v>
      </c>
      <c r="J49">
        <v>2</v>
      </c>
      <c r="K49" t="s">
        <v>60</v>
      </c>
      <c r="L49" t="s">
        <v>78</v>
      </c>
      <c r="M49" s="1">
        <v>40702</v>
      </c>
      <c r="N49" t="s">
        <v>103</v>
      </c>
      <c r="O49" t="str">
        <f t="shared" si="0"/>
        <v>NO</v>
      </c>
      <c r="P49" t="str">
        <f t="shared" si="1"/>
        <v>YES</v>
      </c>
    </row>
    <row r="50" spans="1:16" x14ac:dyDescent="0.3">
      <c r="A50">
        <v>49</v>
      </c>
      <c r="B50">
        <v>0</v>
      </c>
      <c r="C50">
        <v>1</v>
      </c>
      <c r="D50">
        <v>1</v>
      </c>
      <c r="E50">
        <v>0</v>
      </c>
      <c r="F50">
        <v>0</v>
      </c>
      <c r="G50">
        <v>0</v>
      </c>
      <c r="H50">
        <v>3</v>
      </c>
      <c r="I50" t="s">
        <v>4</v>
      </c>
      <c r="J50">
        <v>2</v>
      </c>
      <c r="K50" t="s">
        <v>60</v>
      </c>
      <c r="L50" t="s">
        <v>57</v>
      </c>
      <c r="M50" s="1">
        <v>40705</v>
      </c>
      <c r="N50" t="s">
        <v>103</v>
      </c>
      <c r="O50" t="str">
        <f t="shared" si="0"/>
        <v>NO</v>
      </c>
      <c r="P50" t="str">
        <f t="shared" si="1"/>
        <v>NO</v>
      </c>
    </row>
    <row r="51" spans="1:16" x14ac:dyDescent="0.3">
      <c r="A51">
        <v>50</v>
      </c>
      <c r="B51">
        <v>22</v>
      </c>
      <c r="C51">
        <v>68</v>
      </c>
      <c r="D51">
        <v>33</v>
      </c>
      <c r="E51">
        <v>1</v>
      </c>
      <c r="F51">
        <v>0</v>
      </c>
      <c r="G51">
        <v>66.66</v>
      </c>
      <c r="H51">
        <v>3</v>
      </c>
      <c r="I51" t="s">
        <v>37</v>
      </c>
      <c r="J51">
        <v>2</v>
      </c>
      <c r="K51" t="s">
        <v>60</v>
      </c>
      <c r="L51" t="s">
        <v>57</v>
      </c>
      <c r="M51" s="1">
        <v>40707</v>
      </c>
      <c r="N51" t="s">
        <v>103</v>
      </c>
      <c r="O51" t="str">
        <f t="shared" si="0"/>
        <v>NO</v>
      </c>
      <c r="P51" t="str">
        <f t="shared" si="1"/>
        <v>NO</v>
      </c>
    </row>
    <row r="52" spans="1:16" x14ac:dyDescent="0.3">
      <c r="A52">
        <v>51</v>
      </c>
      <c r="B52">
        <v>94</v>
      </c>
      <c r="C52">
        <v>135</v>
      </c>
      <c r="D52">
        <v>104</v>
      </c>
      <c r="E52">
        <v>10</v>
      </c>
      <c r="F52">
        <v>0</v>
      </c>
      <c r="G52">
        <v>90.38</v>
      </c>
      <c r="H52">
        <v>3</v>
      </c>
      <c r="I52" t="s">
        <v>64</v>
      </c>
      <c r="J52">
        <v>1</v>
      </c>
      <c r="K52" t="s">
        <v>60</v>
      </c>
      <c r="L52" t="s">
        <v>61</v>
      </c>
      <c r="M52" s="1">
        <v>40710</v>
      </c>
      <c r="N52" t="s">
        <v>103</v>
      </c>
      <c r="O52" t="str">
        <f t="shared" si="0"/>
        <v>NO</v>
      </c>
      <c r="P52" t="str">
        <f t="shared" si="1"/>
        <v>YES</v>
      </c>
    </row>
    <row r="53" spans="1:16" x14ac:dyDescent="0.3">
      <c r="A53">
        <v>52</v>
      </c>
      <c r="B53">
        <v>4</v>
      </c>
      <c r="C53">
        <v>13</v>
      </c>
      <c r="D53">
        <v>10</v>
      </c>
      <c r="E53">
        <v>1</v>
      </c>
      <c r="F53">
        <v>0</v>
      </c>
      <c r="G53">
        <v>40</v>
      </c>
      <c r="H53">
        <v>5</v>
      </c>
      <c r="I53" t="s">
        <v>0</v>
      </c>
      <c r="J53">
        <v>1</v>
      </c>
      <c r="K53" t="s">
        <v>60</v>
      </c>
      <c r="L53" t="s">
        <v>61</v>
      </c>
      <c r="M53" s="1">
        <v>40714</v>
      </c>
      <c r="N53" t="s">
        <v>102</v>
      </c>
      <c r="O53" t="str">
        <f t="shared" si="0"/>
        <v>NO</v>
      </c>
      <c r="P53" t="str">
        <f t="shared" si="1"/>
        <v>NO</v>
      </c>
    </row>
    <row r="54" spans="1:16" x14ac:dyDescent="0.3">
      <c r="A54">
        <v>53</v>
      </c>
      <c r="B54">
        <v>15</v>
      </c>
      <c r="C54">
        <v>72</v>
      </c>
      <c r="D54">
        <v>54</v>
      </c>
      <c r="E54">
        <v>2</v>
      </c>
      <c r="F54">
        <v>0</v>
      </c>
      <c r="G54">
        <v>27.77</v>
      </c>
      <c r="H54">
        <v>5</v>
      </c>
      <c r="I54" t="s">
        <v>0</v>
      </c>
      <c r="J54">
        <v>3</v>
      </c>
      <c r="K54" t="s">
        <v>60</v>
      </c>
      <c r="L54" t="s">
        <v>61</v>
      </c>
      <c r="M54" s="1">
        <v>40714</v>
      </c>
      <c r="N54" t="s">
        <v>102</v>
      </c>
      <c r="O54" t="str">
        <f t="shared" si="0"/>
        <v>NO</v>
      </c>
      <c r="P54" t="str">
        <f t="shared" si="1"/>
        <v>NO</v>
      </c>
    </row>
    <row r="55" spans="1:16" x14ac:dyDescent="0.3">
      <c r="A55">
        <v>54</v>
      </c>
      <c r="B55">
        <v>0</v>
      </c>
      <c r="C55">
        <v>1</v>
      </c>
      <c r="D55">
        <v>2</v>
      </c>
      <c r="E55">
        <v>0</v>
      </c>
      <c r="F55">
        <v>0</v>
      </c>
      <c r="G55">
        <v>0</v>
      </c>
      <c r="H55">
        <v>5</v>
      </c>
      <c r="I55" t="s">
        <v>0</v>
      </c>
      <c r="J55">
        <v>1</v>
      </c>
      <c r="K55" t="s">
        <v>60</v>
      </c>
      <c r="L55" t="s">
        <v>56</v>
      </c>
      <c r="M55" s="1">
        <v>40722</v>
      </c>
      <c r="N55" t="s">
        <v>102</v>
      </c>
      <c r="O55" t="str">
        <f t="shared" si="0"/>
        <v>NO</v>
      </c>
      <c r="P55" t="str">
        <f t="shared" si="1"/>
        <v>NO</v>
      </c>
    </row>
    <row r="56" spans="1:16" x14ac:dyDescent="0.3">
      <c r="A56">
        <v>55</v>
      </c>
      <c r="B56">
        <v>27</v>
      </c>
      <c r="C56">
        <v>118</v>
      </c>
      <c r="D56">
        <v>107</v>
      </c>
      <c r="E56">
        <v>1</v>
      </c>
      <c r="F56">
        <v>1</v>
      </c>
      <c r="G56">
        <v>25.23</v>
      </c>
      <c r="H56">
        <v>5</v>
      </c>
      <c r="I56" t="s">
        <v>0</v>
      </c>
      <c r="J56">
        <v>3</v>
      </c>
      <c r="K56" t="s">
        <v>60</v>
      </c>
      <c r="L56" t="s">
        <v>56</v>
      </c>
      <c r="M56" s="1">
        <v>40722</v>
      </c>
      <c r="N56" t="s">
        <v>102</v>
      </c>
      <c r="O56" t="str">
        <f t="shared" si="0"/>
        <v>NO</v>
      </c>
      <c r="P56" t="str">
        <f t="shared" si="1"/>
        <v>NO</v>
      </c>
    </row>
    <row r="57" spans="1:16" x14ac:dyDescent="0.3">
      <c r="A57">
        <v>56</v>
      </c>
      <c r="B57">
        <v>30</v>
      </c>
      <c r="C57">
        <v>62</v>
      </c>
      <c r="D57">
        <v>53</v>
      </c>
      <c r="E57">
        <v>2</v>
      </c>
      <c r="F57">
        <v>0</v>
      </c>
      <c r="G57">
        <v>56.6</v>
      </c>
      <c r="H57">
        <v>5</v>
      </c>
      <c r="I57" t="s">
        <v>0</v>
      </c>
      <c r="J57">
        <v>2</v>
      </c>
      <c r="K57" t="s">
        <v>60</v>
      </c>
      <c r="L57" t="s">
        <v>62</v>
      </c>
      <c r="M57" s="1">
        <v>40730</v>
      </c>
      <c r="N57" t="s">
        <v>102</v>
      </c>
      <c r="O57" t="str">
        <f t="shared" si="0"/>
        <v>NO</v>
      </c>
      <c r="P57" t="str">
        <f t="shared" si="1"/>
        <v>NO</v>
      </c>
    </row>
    <row r="58" spans="1:16" x14ac:dyDescent="0.3">
      <c r="A58">
        <v>57</v>
      </c>
      <c r="B58">
        <v>4</v>
      </c>
      <c r="C58">
        <v>5</v>
      </c>
      <c r="D58">
        <v>5</v>
      </c>
      <c r="E58">
        <v>0</v>
      </c>
      <c r="F58">
        <v>0</v>
      </c>
      <c r="G58">
        <v>80</v>
      </c>
      <c r="H58">
        <v>4</v>
      </c>
      <c r="I58" t="s">
        <v>0</v>
      </c>
      <c r="J58">
        <v>1</v>
      </c>
      <c r="K58" t="s">
        <v>67</v>
      </c>
      <c r="L58" t="s">
        <v>15</v>
      </c>
      <c r="M58" s="1">
        <v>40786</v>
      </c>
      <c r="N58" t="s">
        <v>104</v>
      </c>
      <c r="O58" t="str">
        <f t="shared" si="0"/>
        <v>NO</v>
      </c>
      <c r="P58" t="str">
        <f t="shared" si="1"/>
        <v>NO</v>
      </c>
    </row>
    <row r="59" spans="1:16" x14ac:dyDescent="0.3">
      <c r="A59">
        <v>58</v>
      </c>
      <c r="B59">
        <v>55</v>
      </c>
      <c r="C59">
        <v>92</v>
      </c>
      <c r="D59">
        <v>73</v>
      </c>
      <c r="E59">
        <v>4</v>
      </c>
      <c r="F59">
        <v>0</v>
      </c>
      <c r="G59">
        <v>75.34</v>
      </c>
      <c r="H59">
        <v>4</v>
      </c>
      <c r="I59" t="s">
        <v>7</v>
      </c>
      <c r="J59">
        <v>1</v>
      </c>
      <c r="K59" t="s">
        <v>67</v>
      </c>
      <c r="L59" t="s">
        <v>94</v>
      </c>
      <c r="M59" s="1">
        <v>40789</v>
      </c>
      <c r="N59" t="s">
        <v>103</v>
      </c>
      <c r="O59" t="str">
        <f t="shared" si="0"/>
        <v>NO</v>
      </c>
      <c r="P59" t="str">
        <f t="shared" si="1"/>
        <v>YES</v>
      </c>
    </row>
    <row r="60" spans="1:16" x14ac:dyDescent="0.3">
      <c r="A60">
        <v>59</v>
      </c>
      <c r="B60">
        <v>9</v>
      </c>
      <c r="C60">
        <v>9</v>
      </c>
      <c r="D60">
        <v>9</v>
      </c>
      <c r="E60">
        <v>0</v>
      </c>
      <c r="F60">
        <v>0</v>
      </c>
      <c r="G60">
        <v>100</v>
      </c>
      <c r="H60">
        <v>4</v>
      </c>
      <c r="I60" t="s">
        <v>0</v>
      </c>
      <c r="J60">
        <v>1</v>
      </c>
      <c r="K60" t="s">
        <v>67</v>
      </c>
      <c r="L60" t="s">
        <v>16</v>
      </c>
      <c r="M60" s="1">
        <v>40792</v>
      </c>
      <c r="N60" t="s">
        <v>103</v>
      </c>
      <c r="O60" t="str">
        <f t="shared" si="0"/>
        <v>NO</v>
      </c>
      <c r="P60" t="str">
        <f t="shared" si="1"/>
        <v>NO</v>
      </c>
    </row>
    <row r="61" spans="1:16" x14ac:dyDescent="0.3">
      <c r="A61">
        <v>60</v>
      </c>
      <c r="B61">
        <v>7</v>
      </c>
      <c r="C61">
        <v>18</v>
      </c>
      <c r="D61">
        <v>18</v>
      </c>
      <c r="E61">
        <v>0</v>
      </c>
      <c r="F61">
        <v>0</v>
      </c>
      <c r="G61">
        <v>38.880000000000003</v>
      </c>
      <c r="H61">
        <v>4</v>
      </c>
      <c r="I61" t="s">
        <v>0</v>
      </c>
      <c r="J61">
        <v>1</v>
      </c>
      <c r="K61" t="s">
        <v>67</v>
      </c>
      <c r="L61" t="s">
        <v>17</v>
      </c>
      <c r="M61" s="1">
        <v>40795</v>
      </c>
      <c r="N61" t="s">
        <v>103</v>
      </c>
      <c r="O61" t="str">
        <f t="shared" si="0"/>
        <v>NO</v>
      </c>
      <c r="P61" t="str">
        <f t="shared" si="1"/>
        <v>NO</v>
      </c>
    </row>
    <row r="62" spans="1:16" x14ac:dyDescent="0.3">
      <c r="A62">
        <v>61</v>
      </c>
      <c r="B62">
        <v>16</v>
      </c>
      <c r="C62">
        <v>40</v>
      </c>
      <c r="D62">
        <v>36</v>
      </c>
      <c r="E62">
        <v>1</v>
      </c>
      <c r="F62">
        <v>0</v>
      </c>
      <c r="G62">
        <v>44.44</v>
      </c>
      <c r="H62">
        <v>4</v>
      </c>
      <c r="I62" t="s">
        <v>0</v>
      </c>
      <c r="J62">
        <v>1</v>
      </c>
      <c r="K62" t="s">
        <v>67</v>
      </c>
      <c r="L62" t="s">
        <v>72</v>
      </c>
      <c r="M62" s="1">
        <v>40797</v>
      </c>
      <c r="N62" t="s">
        <v>103</v>
      </c>
      <c r="O62" t="str">
        <f t="shared" si="0"/>
        <v>NO</v>
      </c>
      <c r="P62" t="str">
        <f t="shared" si="1"/>
        <v>NO</v>
      </c>
    </row>
    <row r="63" spans="1:16" x14ac:dyDescent="0.3">
      <c r="A63">
        <v>62</v>
      </c>
      <c r="B63">
        <v>107</v>
      </c>
      <c r="C63">
        <v>102</v>
      </c>
      <c r="D63">
        <v>93</v>
      </c>
      <c r="E63">
        <v>9</v>
      </c>
      <c r="F63">
        <v>1</v>
      </c>
      <c r="G63">
        <v>115.05</v>
      </c>
      <c r="H63">
        <v>4</v>
      </c>
      <c r="I63" t="s">
        <v>79</v>
      </c>
      <c r="J63">
        <v>1</v>
      </c>
      <c r="K63" t="s">
        <v>67</v>
      </c>
      <c r="L63" t="s">
        <v>18</v>
      </c>
      <c r="M63" s="1">
        <v>40802</v>
      </c>
      <c r="N63" t="s">
        <v>103</v>
      </c>
      <c r="O63" t="str">
        <f t="shared" si="0"/>
        <v>YES</v>
      </c>
      <c r="P63" t="str">
        <f t="shared" si="1"/>
        <v>NO</v>
      </c>
    </row>
    <row r="64" spans="1:16" x14ac:dyDescent="0.3">
      <c r="A64">
        <v>63</v>
      </c>
      <c r="B64">
        <v>37</v>
      </c>
      <c r="C64">
        <v>70</v>
      </c>
      <c r="D64">
        <v>63</v>
      </c>
      <c r="E64">
        <v>0</v>
      </c>
      <c r="F64">
        <v>0</v>
      </c>
      <c r="G64">
        <v>58.73</v>
      </c>
      <c r="H64">
        <v>4</v>
      </c>
      <c r="I64" t="s">
        <v>0</v>
      </c>
      <c r="J64">
        <v>1</v>
      </c>
      <c r="K64" t="s">
        <v>67</v>
      </c>
      <c r="L64" t="s">
        <v>19</v>
      </c>
      <c r="M64" s="1">
        <v>40830</v>
      </c>
      <c r="N64" t="s">
        <v>103</v>
      </c>
      <c r="O64" t="str">
        <f t="shared" si="0"/>
        <v>NO</v>
      </c>
      <c r="P64" t="str">
        <f t="shared" si="1"/>
        <v>NO</v>
      </c>
    </row>
    <row r="65" spans="1:16" x14ac:dyDescent="0.3">
      <c r="A65">
        <v>64</v>
      </c>
      <c r="B65">
        <v>112</v>
      </c>
      <c r="C65">
        <v>134</v>
      </c>
      <c r="D65">
        <v>98</v>
      </c>
      <c r="E65">
        <v>16</v>
      </c>
      <c r="F65">
        <v>0</v>
      </c>
      <c r="G65">
        <v>114.28</v>
      </c>
      <c r="H65">
        <v>4</v>
      </c>
      <c r="I65" t="s">
        <v>66</v>
      </c>
      <c r="J65">
        <v>2</v>
      </c>
      <c r="K65" t="s">
        <v>67</v>
      </c>
      <c r="L65" t="s">
        <v>13</v>
      </c>
      <c r="M65" s="1">
        <v>40833</v>
      </c>
      <c r="N65" t="s">
        <v>103</v>
      </c>
      <c r="O65" t="str">
        <f t="shared" si="0"/>
        <v>YES</v>
      </c>
      <c r="P65" t="str">
        <f t="shared" si="1"/>
        <v>NO</v>
      </c>
    </row>
    <row r="66" spans="1:16" x14ac:dyDescent="0.3">
      <c r="A66">
        <v>65</v>
      </c>
      <c r="B66">
        <v>35</v>
      </c>
      <c r="C66">
        <v>42</v>
      </c>
      <c r="D66">
        <v>30</v>
      </c>
      <c r="E66">
        <v>5</v>
      </c>
      <c r="F66">
        <v>0</v>
      </c>
      <c r="G66">
        <v>116.66</v>
      </c>
      <c r="H66">
        <v>4</v>
      </c>
      <c r="I66" t="s">
        <v>4</v>
      </c>
      <c r="J66">
        <v>2</v>
      </c>
      <c r="K66" t="s">
        <v>67</v>
      </c>
      <c r="L66" t="s">
        <v>5</v>
      </c>
      <c r="M66" s="1">
        <v>40836</v>
      </c>
      <c r="N66" t="s">
        <v>103</v>
      </c>
      <c r="O66" t="str">
        <f t="shared" si="0"/>
        <v>NO</v>
      </c>
      <c r="P66" t="str">
        <f t="shared" si="1"/>
        <v>NO</v>
      </c>
    </row>
    <row r="67" spans="1:16" x14ac:dyDescent="0.3">
      <c r="A67">
        <v>66</v>
      </c>
      <c r="B67">
        <v>86</v>
      </c>
      <c r="C67">
        <v>50</v>
      </c>
      <c r="D67">
        <v>99</v>
      </c>
      <c r="E67">
        <v>11</v>
      </c>
      <c r="F67">
        <v>0</v>
      </c>
      <c r="G67">
        <v>86.86</v>
      </c>
      <c r="H67">
        <v>4</v>
      </c>
      <c r="I67" t="s">
        <v>66</v>
      </c>
      <c r="J67">
        <v>2</v>
      </c>
      <c r="K67" t="s">
        <v>67</v>
      </c>
      <c r="L67" t="s">
        <v>20</v>
      </c>
      <c r="M67" s="1">
        <v>40839</v>
      </c>
      <c r="N67" t="s">
        <v>103</v>
      </c>
      <c r="O67" t="str">
        <f t="shared" ref="O67:O130" si="2">IF(B67&gt;100,"YES","NO")</f>
        <v>NO</v>
      </c>
      <c r="P67" t="str">
        <f t="shared" ref="P67:P130" si="3">IF(AND(B67&gt;=50,B67&lt;100),"YES","NO")</f>
        <v>YES</v>
      </c>
    </row>
    <row r="68" spans="1:16" x14ac:dyDescent="0.3">
      <c r="A68">
        <v>67</v>
      </c>
      <c r="B68">
        <v>0</v>
      </c>
      <c r="C68">
        <v>5</v>
      </c>
      <c r="D68">
        <v>5</v>
      </c>
      <c r="E68">
        <v>0</v>
      </c>
      <c r="F68">
        <v>0</v>
      </c>
      <c r="G68">
        <v>0</v>
      </c>
      <c r="H68">
        <v>3</v>
      </c>
      <c r="I68" t="s">
        <v>7</v>
      </c>
      <c r="J68">
        <v>1</v>
      </c>
      <c r="K68" t="s">
        <v>67</v>
      </c>
      <c r="L68" t="s">
        <v>21</v>
      </c>
      <c r="M68" s="1">
        <v>40841</v>
      </c>
      <c r="N68" t="s">
        <v>103</v>
      </c>
      <c r="O68" t="str">
        <f t="shared" si="2"/>
        <v>NO</v>
      </c>
      <c r="P68" t="str">
        <f t="shared" si="3"/>
        <v>NO</v>
      </c>
    </row>
    <row r="69" spans="1:16" x14ac:dyDescent="0.3">
      <c r="A69">
        <v>68</v>
      </c>
      <c r="B69">
        <v>15</v>
      </c>
      <c r="C69">
        <v>21</v>
      </c>
      <c r="D69">
        <v>16</v>
      </c>
      <c r="E69">
        <v>3</v>
      </c>
      <c r="F69">
        <v>0</v>
      </c>
      <c r="G69">
        <v>93.75</v>
      </c>
      <c r="H69">
        <v>3</v>
      </c>
      <c r="I69" t="s">
        <v>0</v>
      </c>
      <c r="J69">
        <v>1</v>
      </c>
      <c r="K69" t="s">
        <v>67</v>
      </c>
      <c r="L69" t="s">
        <v>21</v>
      </c>
      <c r="M69" s="1">
        <v>40845</v>
      </c>
      <c r="N69" t="s">
        <v>104</v>
      </c>
      <c r="O69" t="str">
        <f t="shared" si="2"/>
        <v>NO</v>
      </c>
      <c r="P69" t="str">
        <f t="shared" si="3"/>
        <v>NO</v>
      </c>
    </row>
    <row r="70" spans="1:16" x14ac:dyDescent="0.3">
      <c r="A70">
        <v>69</v>
      </c>
      <c r="B70">
        <v>52</v>
      </c>
      <c r="C70">
        <v>154</v>
      </c>
      <c r="D70">
        <v>111</v>
      </c>
      <c r="E70">
        <v>5</v>
      </c>
      <c r="F70">
        <v>0</v>
      </c>
      <c r="G70">
        <v>46.84</v>
      </c>
      <c r="H70">
        <v>6</v>
      </c>
      <c r="I70" t="s">
        <v>0</v>
      </c>
      <c r="J70">
        <v>2</v>
      </c>
      <c r="K70" t="s">
        <v>60</v>
      </c>
      <c r="L70" t="s">
        <v>20</v>
      </c>
      <c r="M70" s="1">
        <v>40869</v>
      </c>
      <c r="N70" t="s">
        <v>102</v>
      </c>
      <c r="O70" t="str">
        <f t="shared" si="2"/>
        <v>NO</v>
      </c>
      <c r="P70" t="str">
        <f t="shared" si="3"/>
        <v>YES</v>
      </c>
    </row>
    <row r="71" spans="1:16" x14ac:dyDescent="0.3">
      <c r="A71">
        <v>70</v>
      </c>
      <c r="B71">
        <v>63</v>
      </c>
      <c r="C71">
        <v>136</v>
      </c>
      <c r="D71">
        <v>114</v>
      </c>
      <c r="E71">
        <v>3</v>
      </c>
      <c r="F71">
        <v>1</v>
      </c>
      <c r="G71">
        <v>55.26</v>
      </c>
      <c r="H71">
        <v>6</v>
      </c>
      <c r="I71" t="s">
        <v>0</v>
      </c>
      <c r="J71">
        <v>4</v>
      </c>
      <c r="K71" t="s">
        <v>60</v>
      </c>
      <c r="L71" t="s">
        <v>20</v>
      </c>
      <c r="M71" s="1">
        <v>40869</v>
      </c>
      <c r="N71" t="s">
        <v>102</v>
      </c>
      <c r="O71" t="str">
        <f t="shared" si="2"/>
        <v>NO</v>
      </c>
      <c r="P71" t="str">
        <f t="shared" si="3"/>
        <v>YES</v>
      </c>
    </row>
    <row r="72" spans="1:16" x14ac:dyDescent="0.3">
      <c r="A72">
        <v>71</v>
      </c>
      <c r="B72">
        <v>3</v>
      </c>
      <c r="C72">
        <v>13</v>
      </c>
      <c r="D72">
        <v>6</v>
      </c>
      <c r="E72">
        <v>0</v>
      </c>
      <c r="F72">
        <v>0</v>
      </c>
      <c r="G72">
        <v>50</v>
      </c>
      <c r="H72">
        <v>4</v>
      </c>
      <c r="I72" t="s">
        <v>7</v>
      </c>
      <c r="J72">
        <v>2</v>
      </c>
      <c r="K72" t="s">
        <v>60</v>
      </c>
      <c r="L72" t="s">
        <v>44</v>
      </c>
      <c r="M72" s="1">
        <v>40876</v>
      </c>
      <c r="N72" t="s">
        <v>103</v>
      </c>
      <c r="O72" t="str">
        <f t="shared" si="2"/>
        <v>NO</v>
      </c>
      <c r="P72" t="str">
        <f t="shared" si="3"/>
        <v>NO</v>
      </c>
    </row>
    <row r="73" spans="1:16" x14ac:dyDescent="0.3">
      <c r="A73">
        <v>72</v>
      </c>
      <c r="B73">
        <v>117</v>
      </c>
      <c r="C73">
        <v>154</v>
      </c>
      <c r="D73">
        <v>123</v>
      </c>
      <c r="E73">
        <v>14</v>
      </c>
      <c r="F73">
        <v>0</v>
      </c>
      <c r="G73">
        <v>95.12</v>
      </c>
      <c r="H73">
        <v>4</v>
      </c>
      <c r="I73" t="s">
        <v>0</v>
      </c>
      <c r="J73">
        <v>2</v>
      </c>
      <c r="K73" t="s">
        <v>60</v>
      </c>
      <c r="L73" t="s">
        <v>11</v>
      </c>
      <c r="M73" s="1">
        <v>40879</v>
      </c>
      <c r="N73" t="s">
        <v>103</v>
      </c>
      <c r="O73" t="str">
        <f t="shared" si="2"/>
        <v>YES</v>
      </c>
      <c r="P73" t="str">
        <f t="shared" si="3"/>
        <v>NO</v>
      </c>
    </row>
    <row r="74" spans="1:16" x14ac:dyDescent="0.3">
      <c r="A74">
        <v>73</v>
      </c>
      <c r="B74">
        <v>20</v>
      </c>
      <c r="C74">
        <v>21</v>
      </c>
      <c r="D74">
        <v>30</v>
      </c>
      <c r="E74">
        <v>3</v>
      </c>
      <c r="F74">
        <v>0</v>
      </c>
      <c r="G74">
        <v>66.66</v>
      </c>
      <c r="H74">
        <v>4</v>
      </c>
      <c r="I74" t="s">
        <v>4</v>
      </c>
      <c r="J74">
        <v>2</v>
      </c>
      <c r="K74" t="s">
        <v>60</v>
      </c>
      <c r="L74" t="s">
        <v>14</v>
      </c>
      <c r="M74" s="1">
        <v>40882</v>
      </c>
      <c r="N74" t="s">
        <v>103</v>
      </c>
      <c r="O74" t="str">
        <f t="shared" si="2"/>
        <v>NO</v>
      </c>
      <c r="P74" t="str">
        <f t="shared" si="3"/>
        <v>NO</v>
      </c>
    </row>
    <row r="75" spans="1:16" x14ac:dyDescent="0.3">
      <c r="A75">
        <v>74</v>
      </c>
      <c r="B75">
        <v>23</v>
      </c>
      <c r="C75">
        <v>15</v>
      </c>
      <c r="D75">
        <v>11</v>
      </c>
      <c r="E75">
        <v>3</v>
      </c>
      <c r="F75">
        <v>0</v>
      </c>
      <c r="G75">
        <v>209.09</v>
      </c>
      <c r="H75">
        <v>6</v>
      </c>
      <c r="I75" t="s">
        <v>66</v>
      </c>
      <c r="J75">
        <v>1</v>
      </c>
      <c r="K75" t="s">
        <v>60</v>
      </c>
      <c r="L75" t="s">
        <v>46</v>
      </c>
      <c r="M75" s="1">
        <v>40885</v>
      </c>
      <c r="N75" t="s">
        <v>103</v>
      </c>
      <c r="O75" t="str">
        <f t="shared" si="2"/>
        <v>NO</v>
      </c>
      <c r="P75" t="str">
        <f t="shared" si="3"/>
        <v>NO</v>
      </c>
    </row>
    <row r="76" spans="1:16" x14ac:dyDescent="0.3">
      <c r="A76">
        <v>75</v>
      </c>
      <c r="B76">
        <v>80</v>
      </c>
      <c r="C76">
        <v>99</v>
      </c>
      <c r="D76">
        <v>85</v>
      </c>
      <c r="E76">
        <v>5</v>
      </c>
      <c r="F76">
        <v>0</v>
      </c>
      <c r="G76">
        <v>94.11</v>
      </c>
      <c r="H76">
        <v>5</v>
      </c>
      <c r="I76" t="s">
        <v>0</v>
      </c>
      <c r="J76">
        <v>1</v>
      </c>
      <c r="K76" t="s">
        <v>60</v>
      </c>
      <c r="L76" t="s">
        <v>30</v>
      </c>
      <c r="M76" s="1">
        <v>40888</v>
      </c>
      <c r="N76" t="s">
        <v>103</v>
      </c>
      <c r="O76" t="str">
        <f t="shared" si="2"/>
        <v>NO</v>
      </c>
      <c r="P76" t="str">
        <f t="shared" si="3"/>
        <v>YES</v>
      </c>
    </row>
    <row r="77" spans="1:16" x14ac:dyDescent="0.3">
      <c r="A77">
        <v>76</v>
      </c>
      <c r="B77">
        <v>11</v>
      </c>
      <c r="C77">
        <v>28</v>
      </c>
      <c r="D77">
        <v>21</v>
      </c>
      <c r="E77">
        <v>1</v>
      </c>
      <c r="F77">
        <v>0</v>
      </c>
      <c r="G77">
        <v>52.38</v>
      </c>
      <c r="H77">
        <v>7</v>
      </c>
      <c r="I77" t="s">
        <v>0</v>
      </c>
      <c r="J77">
        <v>2</v>
      </c>
      <c r="K77" t="s">
        <v>63</v>
      </c>
      <c r="L77" t="s">
        <v>22</v>
      </c>
      <c r="M77" s="1">
        <v>40903</v>
      </c>
      <c r="N77" t="s">
        <v>102</v>
      </c>
      <c r="O77" t="str">
        <f t="shared" si="2"/>
        <v>NO</v>
      </c>
      <c r="P77" t="str">
        <f t="shared" si="3"/>
        <v>NO</v>
      </c>
    </row>
    <row r="78" spans="1:16" x14ac:dyDescent="0.3">
      <c r="A78">
        <v>77</v>
      </c>
      <c r="B78">
        <v>0</v>
      </c>
      <c r="C78">
        <v>3</v>
      </c>
      <c r="D78">
        <v>1</v>
      </c>
      <c r="E78">
        <v>0</v>
      </c>
      <c r="F78">
        <v>0</v>
      </c>
      <c r="G78">
        <v>0</v>
      </c>
      <c r="H78">
        <v>6</v>
      </c>
      <c r="I78" t="s">
        <v>4</v>
      </c>
      <c r="J78">
        <v>4</v>
      </c>
      <c r="K78" t="s">
        <v>63</v>
      </c>
      <c r="L78" t="s">
        <v>22</v>
      </c>
      <c r="M78" s="1">
        <v>40903</v>
      </c>
      <c r="N78" t="s">
        <v>102</v>
      </c>
      <c r="O78" t="str">
        <f t="shared" si="2"/>
        <v>NO</v>
      </c>
      <c r="P78" t="str">
        <f t="shared" si="3"/>
        <v>NO</v>
      </c>
    </row>
    <row r="79" spans="1:16" x14ac:dyDescent="0.3">
      <c r="A79">
        <v>78</v>
      </c>
      <c r="B79">
        <v>23</v>
      </c>
      <c r="C79">
        <v>50</v>
      </c>
      <c r="D79">
        <v>41</v>
      </c>
      <c r="E79">
        <v>3</v>
      </c>
      <c r="F79">
        <v>0</v>
      </c>
      <c r="G79">
        <v>56.09</v>
      </c>
      <c r="H79">
        <v>6</v>
      </c>
      <c r="I79" t="s">
        <v>0</v>
      </c>
      <c r="J79">
        <v>1</v>
      </c>
      <c r="K79" t="s">
        <v>63</v>
      </c>
      <c r="L79" t="s">
        <v>23</v>
      </c>
      <c r="M79" s="1">
        <v>40911</v>
      </c>
      <c r="N79" t="s">
        <v>102</v>
      </c>
      <c r="O79" t="str">
        <f t="shared" si="2"/>
        <v>NO</v>
      </c>
      <c r="P79" t="str">
        <f t="shared" si="3"/>
        <v>NO</v>
      </c>
    </row>
    <row r="80" spans="1:16" x14ac:dyDescent="0.3">
      <c r="A80">
        <v>79</v>
      </c>
      <c r="B80">
        <v>9</v>
      </c>
      <c r="C80">
        <v>35</v>
      </c>
      <c r="D80">
        <v>24</v>
      </c>
      <c r="E80">
        <v>2</v>
      </c>
      <c r="F80">
        <v>0</v>
      </c>
      <c r="G80">
        <v>37.5</v>
      </c>
      <c r="H80">
        <v>6</v>
      </c>
      <c r="I80" t="s">
        <v>4</v>
      </c>
      <c r="J80">
        <v>3</v>
      </c>
      <c r="K80" t="s">
        <v>63</v>
      </c>
      <c r="L80" t="s">
        <v>23</v>
      </c>
      <c r="M80" s="1">
        <v>40911</v>
      </c>
      <c r="N80" t="s">
        <v>102</v>
      </c>
      <c r="O80" t="str">
        <f t="shared" si="2"/>
        <v>NO</v>
      </c>
      <c r="P80" t="str">
        <f t="shared" si="3"/>
        <v>NO</v>
      </c>
    </row>
    <row r="81" spans="1:16" x14ac:dyDescent="0.3">
      <c r="A81">
        <v>80</v>
      </c>
      <c r="B81">
        <v>44</v>
      </c>
      <c r="C81">
        <v>107</v>
      </c>
      <c r="D81">
        <v>81</v>
      </c>
      <c r="E81">
        <v>6</v>
      </c>
      <c r="F81">
        <v>0</v>
      </c>
      <c r="G81">
        <v>54.32</v>
      </c>
      <c r="H81">
        <v>6</v>
      </c>
      <c r="I81" t="s">
        <v>0</v>
      </c>
      <c r="J81">
        <v>1</v>
      </c>
      <c r="K81" t="s">
        <v>63</v>
      </c>
      <c r="L81" t="s">
        <v>24</v>
      </c>
      <c r="M81" s="1">
        <v>40921</v>
      </c>
      <c r="N81" t="s">
        <v>102</v>
      </c>
      <c r="O81" t="str">
        <f t="shared" si="2"/>
        <v>NO</v>
      </c>
      <c r="P81" t="str">
        <f t="shared" si="3"/>
        <v>NO</v>
      </c>
    </row>
    <row r="82" spans="1:16" x14ac:dyDescent="0.3">
      <c r="A82">
        <v>81</v>
      </c>
      <c r="B82">
        <v>75</v>
      </c>
      <c r="C82">
        <v>191</v>
      </c>
      <c r="D82">
        <v>136</v>
      </c>
      <c r="E82">
        <v>9</v>
      </c>
      <c r="F82">
        <v>0</v>
      </c>
      <c r="G82">
        <v>55.14</v>
      </c>
      <c r="H82">
        <v>6</v>
      </c>
      <c r="I82" t="s">
        <v>0</v>
      </c>
      <c r="J82">
        <v>3</v>
      </c>
      <c r="K82" t="s">
        <v>63</v>
      </c>
      <c r="L82" t="s">
        <v>24</v>
      </c>
      <c r="M82" s="1">
        <v>40921</v>
      </c>
      <c r="N82" t="s">
        <v>102</v>
      </c>
      <c r="O82" t="str">
        <f t="shared" si="2"/>
        <v>NO</v>
      </c>
      <c r="P82" t="str">
        <f t="shared" si="3"/>
        <v>YES</v>
      </c>
    </row>
    <row r="83" spans="1:16" x14ac:dyDescent="0.3">
      <c r="A83">
        <v>82</v>
      </c>
      <c r="B83">
        <v>116</v>
      </c>
      <c r="C83">
        <v>237</v>
      </c>
      <c r="D83">
        <v>213</v>
      </c>
      <c r="E83">
        <v>11</v>
      </c>
      <c r="F83">
        <v>1</v>
      </c>
      <c r="G83">
        <v>54.46</v>
      </c>
      <c r="H83">
        <v>6</v>
      </c>
      <c r="I83" t="s">
        <v>4</v>
      </c>
      <c r="J83">
        <v>2</v>
      </c>
      <c r="K83" t="s">
        <v>63</v>
      </c>
      <c r="L83" t="s">
        <v>25</v>
      </c>
      <c r="M83" s="1">
        <v>40932</v>
      </c>
      <c r="N83" t="s">
        <v>102</v>
      </c>
      <c r="O83" t="str">
        <f t="shared" si="2"/>
        <v>YES</v>
      </c>
      <c r="P83" t="str">
        <f t="shared" si="3"/>
        <v>NO</v>
      </c>
    </row>
    <row r="84" spans="1:16" x14ac:dyDescent="0.3">
      <c r="A84">
        <v>83</v>
      </c>
      <c r="B84">
        <v>22</v>
      </c>
      <c r="C84">
        <v>96</v>
      </c>
      <c r="D84">
        <v>62</v>
      </c>
      <c r="E84">
        <v>2</v>
      </c>
      <c r="F84">
        <v>0</v>
      </c>
      <c r="G84">
        <v>35.479999999999997</v>
      </c>
      <c r="H84">
        <v>6</v>
      </c>
      <c r="I84" t="s">
        <v>64</v>
      </c>
      <c r="J84">
        <v>4</v>
      </c>
      <c r="K84" t="s">
        <v>63</v>
      </c>
      <c r="L84" t="s">
        <v>25</v>
      </c>
      <c r="M84" s="1">
        <v>40932</v>
      </c>
      <c r="N84" t="s">
        <v>102</v>
      </c>
      <c r="O84" t="str">
        <f t="shared" si="2"/>
        <v>NO</v>
      </c>
      <c r="P84" t="str">
        <f t="shared" si="3"/>
        <v>NO</v>
      </c>
    </row>
    <row r="85" spans="1:16" x14ac:dyDescent="0.3">
      <c r="A85">
        <v>84</v>
      </c>
      <c r="B85">
        <v>22</v>
      </c>
      <c r="C85">
        <v>30</v>
      </c>
      <c r="D85">
        <v>21</v>
      </c>
      <c r="E85">
        <v>0</v>
      </c>
      <c r="F85">
        <v>1</v>
      </c>
      <c r="G85">
        <v>104.76</v>
      </c>
      <c r="H85">
        <v>3</v>
      </c>
      <c r="I85" t="s">
        <v>0</v>
      </c>
      <c r="J85">
        <v>2</v>
      </c>
      <c r="K85" t="s">
        <v>63</v>
      </c>
      <c r="L85" t="s">
        <v>23</v>
      </c>
      <c r="M85" s="1">
        <v>40940</v>
      </c>
      <c r="N85" t="s">
        <v>104</v>
      </c>
      <c r="O85" t="str">
        <f t="shared" si="2"/>
        <v>NO</v>
      </c>
      <c r="P85" t="str">
        <f t="shared" si="3"/>
        <v>NO</v>
      </c>
    </row>
    <row r="86" spans="1:16" x14ac:dyDescent="0.3">
      <c r="A86">
        <v>85</v>
      </c>
      <c r="B86">
        <v>31</v>
      </c>
      <c r="C86">
        <v>29</v>
      </c>
      <c r="D86">
        <v>24</v>
      </c>
      <c r="E86">
        <v>3</v>
      </c>
      <c r="F86">
        <v>0</v>
      </c>
      <c r="G86">
        <v>129.16</v>
      </c>
      <c r="H86">
        <v>3</v>
      </c>
      <c r="I86" t="s">
        <v>0</v>
      </c>
      <c r="J86">
        <v>2</v>
      </c>
      <c r="K86" t="s">
        <v>63</v>
      </c>
      <c r="L86" t="s">
        <v>22</v>
      </c>
      <c r="M86" s="1">
        <v>40942</v>
      </c>
      <c r="N86" t="s">
        <v>104</v>
      </c>
      <c r="O86" t="str">
        <f t="shared" si="2"/>
        <v>NO</v>
      </c>
      <c r="P86" t="str">
        <f t="shared" si="3"/>
        <v>NO</v>
      </c>
    </row>
    <row r="87" spans="1:16" x14ac:dyDescent="0.3">
      <c r="A87">
        <v>86</v>
      </c>
      <c r="B87">
        <v>31</v>
      </c>
      <c r="C87">
        <v>30</v>
      </c>
      <c r="D87">
        <v>34</v>
      </c>
      <c r="E87">
        <v>3</v>
      </c>
      <c r="F87">
        <v>0</v>
      </c>
      <c r="G87">
        <v>91.17</v>
      </c>
      <c r="H87">
        <v>3</v>
      </c>
      <c r="I87" t="s">
        <v>0</v>
      </c>
      <c r="J87">
        <v>2</v>
      </c>
      <c r="K87" t="s">
        <v>63</v>
      </c>
      <c r="L87" t="s">
        <v>22</v>
      </c>
      <c r="M87" s="1">
        <v>40944</v>
      </c>
      <c r="N87" t="s">
        <v>103</v>
      </c>
      <c r="O87" t="str">
        <f t="shared" si="2"/>
        <v>NO</v>
      </c>
      <c r="P87" t="str">
        <f t="shared" si="3"/>
        <v>NO</v>
      </c>
    </row>
    <row r="88" spans="1:16" x14ac:dyDescent="0.3">
      <c r="A88">
        <v>87</v>
      </c>
      <c r="B88">
        <v>77</v>
      </c>
      <c r="C88">
        <v>156</v>
      </c>
      <c r="D88">
        <v>94</v>
      </c>
      <c r="E88">
        <v>8</v>
      </c>
      <c r="F88">
        <v>1</v>
      </c>
      <c r="G88">
        <v>81.91</v>
      </c>
      <c r="H88">
        <v>3</v>
      </c>
      <c r="I88" t="s">
        <v>64</v>
      </c>
      <c r="J88">
        <v>2</v>
      </c>
      <c r="K88" t="s">
        <v>74</v>
      </c>
      <c r="L88" t="s">
        <v>24</v>
      </c>
      <c r="M88" s="1">
        <v>40947</v>
      </c>
      <c r="N88" t="s">
        <v>103</v>
      </c>
      <c r="O88" t="str">
        <f t="shared" si="2"/>
        <v>NO</v>
      </c>
      <c r="P88" t="str">
        <f t="shared" si="3"/>
        <v>YES</v>
      </c>
    </row>
    <row r="89" spans="1:16" x14ac:dyDescent="0.3">
      <c r="A89">
        <v>88</v>
      </c>
      <c r="B89">
        <v>18</v>
      </c>
      <c r="C89">
        <v>41</v>
      </c>
      <c r="D89">
        <v>28</v>
      </c>
      <c r="E89">
        <v>1</v>
      </c>
      <c r="F89">
        <v>0</v>
      </c>
      <c r="G89">
        <v>64.28</v>
      </c>
      <c r="H89">
        <v>3</v>
      </c>
      <c r="I89" t="s">
        <v>0</v>
      </c>
      <c r="J89">
        <v>2</v>
      </c>
      <c r="K89" t="s">
        <v>63</v>
      </c>
      <c r="L89" t="s">
        <v>25</v>
      </c>
      <c r="M89" s="1">
        <v>40951</v>
      </c>
      <c r="N89" t="s">
        <v>103</v>
      </c>
      <c r="O89" t="str">
        <f t="shared" si="2"/>
        <v>NO</v>
      </c>
      <c r="P89" t="str">
        <f t="shared" si="3"/>
        <v>NO</v>
      </c>
    </row>
    <row r="90" spans="1:16" x14ac:dyDescent="0.3">
      <c r="A90">
        <v>89</v>
      </c>
      <c r="B90">
        <v>15</v>
      </c>
      <c r="C90">
        <v>32</v>
      </c>
      <c r="D90">
        <v>25</v>
      </c>
      <c r="E90">
        <v>1</v>
      </c>
      <c r="F90">
        <v>0</v>
      </c>
      <c r="G90">
        <v>60</v>
      </c>
      <c r="H90">
        <v>3</v>
      </c>
      <c r="I90" t="s">
        <v>4</v>
      </c>
      <c r="J90">
        <v>2</v>
      </c>
      <c r="K90" t="s">
        <v>74</v>
      </c>
      <c r="L90" t="s">
        <v>25</v>
      </c>
      <c r="M90" s="1">
        <v>40953</v>
      </c>
      <c r="N90" t="s">
        <v>103</v>
      </c>
      <c r="O90" t="str">
        <f t="shared" si="2"/>
        <v>NO</v>
      </c>
      <c r="P90" t="str">
        <f t="shared" si="3"/>
        <v>NO</v>
      </c>
    </row>
    <row r="91" spans="1:16" x14ac:dyDescent="0.3">
      <c r="A91">
        <v>90</v>
      </c>
      <c r="B91">
        <v>12</v>
      </c>
      <c r="C91">
        <v>44</v>
      </c>
      <c r="D91">
        <v>25</v>
      </c>
      <c r="E91">
        <v>0</v>
      </c>
      <c r="F91">
        <v>0</v>
      </c>
      <c r="G91">
        <v>48</v>
      </c>
      <c r="H91">
        <v>3</v>
      </c>
      <c r="I91" t="s">
        <v>0</v>
      </c>
      <c r="J91">
        <v>2</v>
      </c>
      <c r="K91" t="s">
        <v>63</v>
      </c>
      <c r="L91" t="s">
        <v>26</v>
      </c>
      <c r="M91" s="1">
        <v>40958</v>
      </c>
      <c r="N91" t="s">
        <v>103</v>
      </c>
      <c r="O91" t="str">
        <f t="shared" si="2"/>
        <v>NO</v>
      </c>
      <c r="P91" t="str">
        <f t="shared" si="3"/>
        <v>NO</v>
      </c>
    </row>
    <row r="92" spans="1:16" x14ac:dyDescent="0.3">
      <c r="A92">
        <v>91</v>
      </c>
      <c r="B92">
        <v>66</v>
      </c>
      <c r="C92">
        <v>116</v>
      </c>
      <c r="D92">
        <v>83</v>
      </c>
      <c r="E92">
        <v>2</v>
      </c>
      <c r="F92">
        <v>0</v>
      </c>
      <c r="G92">
        <v>79.510000000000005</v>
      </c>
      <c r="H92">
        <v>4</v>
      </c>
      <c r="I92" t="s">
        <v>0</v>
      </c>
      <c r="J92">
        <v>2</v>
      </c>
      <c r="K92" t="s">
        <v>74</v>
      </c>
      <c r="L92" t="s">
        <v>26</v>
      </c>
      <c r="M92" s="1">
        <v>40960</v>
      </c>
      <c r="N92" t="s">
        <v>103</v>
      </c>
      <c r="O92" t="str">
        <f t="shared" si="2"/>
        <v>NO</v>
      </c>
      <c r="P92" t="str">
        <f t="shared" si="3"/>
        <v>YES</v>
      </c>
    </row>
    <row r="93" spans="1:16" x14ac:dyDescent="0.3">
      <c r="A93">
        <v>92</v>
      </c>
      <c r="B93">
        <v>21</v>
      </c>
      <c r="C93">
        <v>36</v>
      </c>
      <c r="D93">
        <v>27</v>
      </c>
      <c r="E93">
        <v>2</v>
      </c>
      <c r="F93">
        <v>0</v>
      </c>
      <c r="G93">
        <v>77.77</v>
      </c>
      <c r="H93">
        <v>4</v>
      </c>
      <c r="I93" t="s">
        <v>0</v>
      </c>
      <c r="J93">
        <v>2</v>
      </c>
      <c r="K93" t="s">
        <v>63</v>
      </c>
      <c r="L93" t="s">
        <v>23</v>
      </c>
      <c r="M93" s="1">
        <v>40965</v>
      </c>
      <c r="N93" t="s">
        <v>103</v>
      </c>
      <c r="O93" t="str">
        <f t="shared" si="2"/>
        <v>NO</v>
      </c>
      <c r="P93" t="str">
        <f t="shared" si="3"/>
        <v>NO</v>
      </c>
    </row>
    <row r="94" spans="1:16" x14ac:dyDescent="0.3">
      <c r="A94">
        <v>93</v>
      </c>
      <c r="B94">
        <v>133</v>
      </c>
      <c r="C94">
        <v>133</v>
      </c>
      <c r="D94">
        <v>86</v>
      </c>
      <c r="E94">
        <v>16</v>
      </c>
      <c r="F94">
        <v>2</v>
      </c>
      <c r="G94">
        <v>154.65</v>
      </c>
      <c r="H94">
        <v>4</v>
      </c>
      <c r="I94" t="s">
        <v>66</v>
      </c>
      <c r="J94">
        <v>2</v>
      </c>
      <c r="K94" t="s">
        <v>74</v>
      </c>
      <c r="L94" t="s">
        <v>95</v>
      </c>
      <c r="M94" s="1">
        <v>40967</v>
      </c>
      <c r="N94" t="s">
        <v>103</v>
      </c>
      <c r="O94" t="str">
        <f t="shared" si="2"/>
        <v>YES</v>
      </c>
      <c r="P94" t="str">
        <f t="shared" si="3"/>
        <v>NO</v>
      </c>
    </row>
    <row r="95" spans="1:16" x14ac:dyDescent="0.3">
      <c r="A95">
        <v>94</v>
      </c>
      <c r="B95">
        <v>108</v>
      </c>
      <c r="C95">
        <v>148</v>
      </c>
      <c r="D95">
        <v>120</v>
      </c>
      <c r="E95">
        <v>7</v>
      </c>
      <c r="F95">
        <v>0</v>
      </c>
      <c r="G95">
        <v>90</v>
      </c>
      <c r="H95">
        <v>3</v>
      </c>
      <c r="I95" t="s">
        <v>0</v>
      </c>
      <c r="J95">
        <v>1</v>
      </c>
      <c r="K95" t="s">
        <v>74</v>
      </c>
      <c r="L95" t="s">
        <v>6</v>
      </c>
      <c r="M95" s="1">
        <v>40981</v>
      </c>
      <c r="N95" t="s">
        <v>103</v>
      </c>
      <c r="O95" t="str">
        <f t="shared" si="2"/>
        <v>YES</v>
      </c>
      <c r="P95" t="str">
        <f t="shared" si="3"/>
        <v>NO</v>
      </c>
    </row>
    <row r="96" spans="1:16" x14ac:dyDescent="0.3">
      <c r="A96">
        <v>95</v>
      </c>
      <c r="B96">
        <v>66</v>
      </c>
      <c r="C96">
        <v>126</v>
      </c>
      <c r="D96">
        <v>82</v>
      </c>
      <c r="E96">
        <v>5</v>
      </c>
      <c r="F96">
        <v>0</v>
      </c>
      <c r="G96">
        <v>80.48</v>
      </c>
      <c r="H96">
        <v>3</v>
      </c>
      <c r="I96" t="s">
        <v>7</v>
      </c>
      <c r="J96">
        <v>1</v>
      </c>
      <c r="K96" t="s">
        <v>73</v>
      </c>
      <c r="L96" t="s">
        <v>6</v>
      </c>
      <c r="M96" s="1">
        <v>40984</v>
      </c>
      <c r="N96" t="s">
        <v>103</v>
      </c>
      <c r="O96" t="str">
        <f t="shared" si="2"/>
        <v>NO</v>
      </c>
      <c r="P96" t="str">
        <f t="shared" si="3"/>
        <v>YES</v>
      </c>
    </row>
    <row r="97" spans="1:16" x14ac:dyDescent="0.3">
      <c r="A97">
        <v>96</v>
      </c>
      <c r="B97">
        <v>183</v>
      </c>
      <c r="C97">
        <v>211</v>
      </c>
      <c r="D97">
        <v>148</v>
      </c>
      <c r="E97">
        <v>22</v>
      </c>
      <c r="F97">
        <v>1</v>
      </c>
      <c r="G97">
        <v>123.64</v>
      </c>
      <c r="H97">
        <v>3</v>
      </c>
      <c r="I97" t="s">
        <v>0</v>
      </c>
      <c r="J97">
        <v>2</v>
      </c>
      <c r="K97" t="s">
        <v>84</v>
      </c>
      <c r="L97" t="s">
        <v>6</v>
      </c>
      <c r="M97" s="1">
        <v>40986</v>
      </c>
      <c r="N97" t="s">
        <v>103</v>
      </c>
      <c r="O97" t="str">
        <f t="shared" si="2"/>
        <v>YES</v>
      </c>
      <c r="P97" t="str">
        <f t="shared" si="3"/>
        <v>NO</v>
      </c>
    </row>
    <row r="98" spans="1:16" x14ac:dyDescent="0.3">
      <c r="A98">
        <v>97</v>
      </c>
      <c r="B98">
        <v>106</v>
      </c>
      <c r="C98">
        <v>158</v>
      </c>
      <c r="D98">
        <v>113</v>
      </c>
      <c r="E98">
        <v>9</v>
      </c>
      <c r="F98">
        <v>0</v>
      </c>
      <c r="G98">
        <v>93.8</v>
      </c>
      <c r="H98">
        <v>3</v>
      </c>
      <c r="I98" t="s">
        <v>0</v>
      </c>
      <c r="J98">
        <v>1</v>
      </c>
      <c r="K98" t="s">
        <v>74</v>
      </c>
      <c r="L98" t="s">
        <v>96</v>
      </c>
      <c r="M98" s="1">
        <v>41111</v>
      </c>
      <c r="N98" t="s">
        <v>103</v>
      </c>
      <c r="O98" t="str">
        <f t="shared" si="2"/>
        <v>YES</v>
      </c>
      <c r="P98" t="str">
        <f t="shared" si="3"/>
        <v>NO</v>
      </c>
    </row>
    <row r="99" spans="1:16" x14ac:dyDescent="0.3">
      <c r="A99">
        <v>98</v>
      </c>
      <c r="B99">
        <v>1</v>
      </c>
      <c r="C99">
        <v>6</v>
      </c>
      <c r="D99">
        <v>5</v>
      </c>
      <c r="E99">
        <v>0</v>
      </c>
      <c r="F99">
        <v>0</v>
      </c>
      <c r="G99">
        <v>20</v>
      </c>
      <c r="H99">
        <v>3</v>
      </c>
      <c r="I99" t="s">
        <v>0</v>
      </c>
      <c r="J99">
        <v>1</v>
      </c>
      <c r="K99" t="s">
        <v>74</v>
      </c>
      <c r="L99" t="s">
        <v>96</v>
      </c>
      <c r="M99" s="1">
        <v>41114</v>
      </c>
      <c r="N99" t="s">
        <v>103</v>
      </c>
      <c r="O99" t="str">
        <f t="shared" si="2"/>
        <v>NO</v>
      </c>
      <c r="P99" t="str">
        <f t="shared" si="3"/>
        <v>NO</v>
      </c>
    </row>
    <row r="100" spans="1:16" x14ac:dyDescent="0.3">
      <c r="A100">
        <v>99</v>
      </c>
      <c r="B100">
        <v>38</v>
      </c>
      <c r="C100">
        <v>80</v>
      </c>
      <c r="D100">
        <v>65</v>
      </c>
      <c r="E100">
        <v>2</v>
      </c>
      <c r="F100">
        <v>0</v>
      </c>
      <c r="G100">
        <v>58.46</v>
      </c>
      <c r="H100">
        <v>3</v>
      </c>
      <c r="I100" t="s">
        <v>0</v>
      </c>
      <c r="J100">
        <v>2</v>
      </c>
      <c r="K100" t="s">
        <v>74</v>
      </c>
      <c r="L100" t="s">
        <v>27</v>
      </c>
      <c r="M100" s="1">
        <v>41118</v>
      </c>
      <c r="N100" t="s">
        <v>103</v>
      </c>
      <c r="O100" t="str">
        <f t="shared" si="2"/>
        <v>NO</v>
      </c>
      <c r="P100" t="str">
        <f t="shared" si="3"/>
        <v>NO</v>
      </c>
    </row>
    <row r="101" spans="1:16" x14ac:dyDescent="0.3">
      <c r="A101">
        <v>100</v>
      </c>
      <c r="B101">
        <v>128</v>
      </c>
      <c r="C101">
        <v>187</v>
      </c>
      <c r="D101">
        <v>119</v>
      </c>
      <c r="E101">
        <v>12</v>
      </c>
      <c r="F101">
        <v>1</v>
      </c>
      <c r="G101">
        <v>107.56</v>
      </c>
      <c r="H101">
        <v>3</v>
      </c>
      <c r="I101" t="s">
        <v>66</v>
      </c>
      <c r="J101">
        <v>2</v>
      </c>
      <c r="K101" t="s">
        <v>74</v>
      </c>
      <c r="L101" t="s">
        <v>27</v>
      </c>
      <c r="M101" s="1">
        <v>41121</v>
      </c>
      <c r="N101" t="s">
        <v>103</v>
      </c>
      <c r="O101" t="str">
        <f t="shared" si="2"/>
        <v>YES</v>
      </c>
      <c r="P101" t="str">
        <f t="shared" si="3"/>
        <v>NO</v>
      </c>
    </row>
    <row r="102" spans="1:16" x14ac:dyDescent="0.3">
      <c r="A102">
        <v>101</v>
      </c>
      <c r="B102">
        <v>23</v>
      </c>
      <c r="C102">
        <v>42</v>
      </c>
      <c r="D102">
        <v>35</v>
      </c>
      <c r="E102">
        <v>2</v>
      </c>
      <c r="F102">
        <v>0</v>
      </c>
      <c r="G102">
        <v>65.709999999999994</v>
      </c>
      <c r="H102">
        <v>3</v>
      </c>
      <c r="I102" t="s">
        <v>4</v>
      </c>
      <c r="J102">
        <v>1</v>
      </c>
      <c r="K102" t="s">
        <v>74</v>
      </c>
      <c r="L102" t="s">
        <v>53</v>
      </c>
      <c r="M102" s="1">
        <v>41125</v>
      </c>
      <c r="N102" t="s">
        <v>103</v>
      </c>
      <c r="O102" t="str">
        <f t="shared" si="2"/>
        <v>NO</v>
      </c>
      <c r="P102" t="str">
        <f t="shared" si="3"/>
        <v>NO</v>
      </c>
    </row>
    <row r="103" spans="1:16" x14ac:dyDescent="0.3">
      <c r="A103">
        <v>102</v>
      </c>
      <c r="B103">
        <v>68</v>
      </c>
      <c r="C103">
        <v>65</v>
      </c>
      <c r="D103">
        <v>48</v>
      </c>
      <c r="E103">
        <v>11</v>
      </c>
      <c r="F103">
        <v>1</v>
      </c>
      <c r="G103">
        <v>141.66</v>
      </c>
      <c r="H103">
        <v>3</v>
      </c>
      <c r="I103" t="s">
        <v>0</v>
      </c>
      <c r="J103">
        <v>1</v>
      </c>
      <c r="K103" t="s">
        <v>74</v>
      </c>
      <c r="L103" t="s">
        <v>53</v>
      </c>
      <c r="M103" s="1">
        <v>41128</v>
      </c>
      <c r="N103" t="s">
        <v>104</v>
      </c>
      <c r="O103" t="str">
        <f t="shared" si="2"/>
        <v>NO</v>
      </c>
      <c r="P103" t="str">
        <f t="shared" si="3"/>
        <v>YES</v>
      </c>
    </row>
    <row r="104" spans="1:16" x14ac:dyDescent="0.3">
      <c r="A104">
        <v>103</v>
      </c>
      <c r="B104">
        <v>58</v>
      </c>
      <c r="C104">
        <v>143</v>
      </c>
      <c r="D104">
        <v>107</v>
      </c>
      <c r="E104">
        <v>8</v>
      </c>
      <c r="F104">
        <v>0</v>
      </c>
      <c r="G104">
        <v>54.2</v>
      </c>
      <c r="H104">
        <v>5</v>
      </c>
      <c r="I104" t="s">
        <v>0</v>
      </c>
      <c r="J104">
        <v>1</v>
      </c>
      <c r="K104" t="s">
        <v>65</v>
      </c>
      <c r="L104" t="s">
        <v>19</v>
      </c>
      <c r="M104" s="1">
        <v>41144</v>
      </c>
      <c r="N104" t="s">
        <v>102</v>
      </c>
      <c r="O104" t="str">
        <f t="shared" si="2"/>
        <v>NO</v>
      </c>
      <c r="P104" t="str">
        <f t="shared" si="3"/>
        <v>YES</v>
      </c>
    </row>
    <row r="105" spans="1:16" x14ac:dyDescent="0.3">
      <c r="A105">
        <v>104</v>
      </c>
      <c r="B105">
        <v>103</v>
      </c>
      <c r="C105">
        <v>284</v>
      </c>
      <c r="D105">
        <v>193</v>
      </c>
      <c r="E105">
        <v>14</v>
      </c>
      <c r="F105">
        <v>1</v>
      </c>
      <c r="G105">
        <v>53.36</v>
      </c>
      <c r="H105">
        <v>5</v>
      </c>
      <c r="I105" t="s">
        <v>4</v>
      </c>
      <c r="J105">
        <v>2</v>
      </c>
      <c r="K105" t="s">
        <v>65</v>
      </c>
      <c r="L105" t="s">
        <v>12</v>
      </c>
      <c r="M105" s="1">
        <v>41152</v>
      </c>
      <c r="N105" t="s">
        <v>102</v>
      </c>
      <c r="O105" t="str">
        <f t="shared" si="2"/>
        <v>YES</v>
      </c>
      <c r="P105" t="str">
        <f t="shared" si="3"/>
        <v>NO</v>
      </c>
    </row>
    <row r="106" spans="1:16" x14ac:dyDescent="0.3">
      <c r="A106">
        <v>105</v>
      </c>
      <c r="B106">
        <v>51</v>
      </c>
      <c r="C106">
        <v>130</v>
      </c>
      <c r="D106">
        <v>82</v>
      </c>
      <c r="E106">
        <v>9</v>
      </c>
      <c r="F106">
        <v>0</v>
      </c>
      <c r="G106">
        <v>62.19</v>
      </c>
      <c r="H106">
        <v>5</v>
      </c>
      <c r="I106" t="s">
        <v>66</v>
      </c>
      <c r="J106">
        <v>4</v>
      </c>
      <c r="K106" t="s">
        <v>65</v>
      </c>
      <c r="L106" t="s">
        <v>12</v>
      </c>
      <c r="M106" s="1">
        <v>41152</v>
      </c>
      <c r="N106" t="s">
        <v>102</v>
      </c>
      <c r="O106" t="str">
        <f t="shared" si="2"/>
        <v>NO</v>
      </c>
      <c r="P106" t="str">
        <f t="shared" si="3"/>
        <v>YES</v>
      </c>
    </row>
    <row r="107" spans="1:16" x14ac:dyDescent="0.3">
      <c r="A107">
        <v>106</v>
      </c>
      <c r="B107">
        <v>70</v>
      </c>
      <c r="C107">
        <v>67</v>
      </c>
      <c r="D107">
        <v>41</v>
      </c>
      <c r="E107">
        <v>10</v>
      </c>
      <c r="F107">
        <v>1</v>
      </c>
      <c r="G107">
        <v>170.73</v>
      </c>
      <c r="H107">
        <v>2</v>
      </c>
      <c r="I107" t="s">
        <v>0</v>
      </c>
      <c r="J107">
        <v>2</v>
      </c>
      <c r="K107" t="s">
        <v>65</v>
      </c>
      <c r="L107" t="s">
        <v>30</v>
      </c>
      <c r="M107" s="1">
        <v>41163</v>
      </c>
      <c r="N107" t="s">
        <v>104</v>
      </c>
      <c r="O107" t="str">
        <f t="shared" si="2"/>
        <v>NO</v>
      </c>
      <c r="P107" t="str">
        <f t="shared" si="3"/>
        <v>YES</v>
      </c>
    </row>
    <row r="108" spans="1:16" x14ac:dyDescent="0.3">
      <c r="A108">
        <v>107</v>
      </c>
      <c r="B108">
        <v>50</v>
      </c>
      <c r="C108">
        <v>60</v>
      </c>
      <c r="D108">
        <v>39</v>
      </c>
      <c r="E108">
        <v>4</v>
      </c>
      <c r="F108">
        <v>2</v>
      </c>
      <c r="G108">
        <v>128.19999999999999</v>
      </c>
      <c r="H108">
        <v>3</v>
      </c>
      <c r="I108" t="s">
        <v>0</v>
      </c>
      <c r="J108">
        <v>1</v>
      </c>
      <c r="K108" t="s">
        <v>83</v>
      </c>
      <c r="L108" t="s">
        <v>27</v>
      </c>
      <c r="M108" s="1">
        <v>41171</v>
      </c>
      <c r="N108" t="s">
        <v>104</v>
      </c>
      <c r="O108" t="str">
        <f t="shared" si="2"/>
        <v>NO</v>
      </c>
      <c r="P108" t="str">
        <f t="shared" si="3"/>
        <v>YES</v>
      </c>
    </row>
    <row r="109" spans="1:16" x14ac:dyDescent="0.3">
      <c r="A109">
        <v>108</v>
      </c>
      <c r="B109">
        <v>40</v>
      </c>
      <c r="C109">
        <v>33</v>
      </c>
      <c r="D109">
        <v>32</v>
      </c>
      <c r="E109">
        <v>6</v>
      </c>
      <c r="F109">
        <v>0</v>
      </c>
      <c r="G109">
        <v>125</v>
      </c>
      <c r="H109">
        <v>3</v>
      </c>
      <c r="I109" t="s">
        <v>0</v>
      </c>
      <c r="J109">
        <v>1</v>
      </c>
      <c r="K109" t="s">
        <v>67</v>
      </c>
      <c r="L109" t="s">
        <v>27</v>
      </c>
      <c r="M109" s="1">
        <v>41175</v>
      </c>
      <c r="N109" t="s">
        <v>104</v>
      </c>
      <c r="O109" t="str">
        <f t="shared" si="2"/>
        <v>NO</v>
      </c>
      <c r="P109" t="str">
        <f t="shared" si="3"/>
        <v>NO</v>
      </c>
    </row>
    <row r="110" spans="1:16" x14ac:dyDescent="0.3">
      <c r="A110">
        <v>109</v>
      </c>
      <c r="B110">
        <v>15</v>
      </c>
      <c r="C110">
        <v>18</v>
      </c>
      <c r="D110">
        <v>13</v>
      </c>
      <c r="E110">
        <v>2</v>
      </c>
      <c r="F110">
        <v>0</v>
      </c>
      <c r="G110">
        <v>115.38</v>
      </c>
      <c r="H110">
        <v>3</v>
      </c>
      <c r="I110" t="s">
        <v>0</v>
      </c>
      <c r="J110">
        <v>1</v>
      </c>
      <c r="K110" t="s">
        <v>63</v>
      </c>
      <c r="L110" t="s">
        <v>27</v>
      </c>
      <c r="M110" s="1">
        <v>41180</v>
      </c>
      <c r="N110" t="s">
        <v>104</v>
      </c>
      <c r="O110" t="str">
        <f t="shared" si="2"/>
        <v>NO</v>
      </c>
      <c r="P110" t="str">
        <f t="shared" si="3"/>
        <v>NO</v>
      </c>
    </row>
    <row r="111" spans="1:16" x14ac:dyDescent="0.3">
      <c r="A111">
        <v>110</v>
      </c>
      <c r="B111">
        <v>78</v>
      </c>
      <c r="C111">
        <v>61</v>
      </c>
      <c r="D111">
        <v>61</v>
      </c>
      <c r="E111">
        <v>8</v>
      </c>
      <c r="F111">
        <v>2</v>
      </c>
      <c r="G111">
        <v>127.86</v>
      </c>
      <c r="H111">
        <v>3</v>
      </c>
      <c r="I111" t="s">
        <v>66</v>
      </c>
      <c r="J111">
        <v>2</v>
      </c>
      <c r="K111" t="s">
        <v>84</v>
      </c>
      <c r="L111" t="s">
        <v>27</v>
      </c>
      <c r="M111" s="1">
        <v>41182</v>
      </c>
      <c r="N111" t="s">
        <v>104</v>
      </c>
      <c r="O111" t="str">
        <f t="shared" si="2"/>
        <v>NO</v>
      </c>
      <c r="P111" t="str">
        <f t="shared" si="3"/>
        <v>YES</v>
      </c>
    </row>
    <row r="112" spans="1:16" x14ac:dyDescent="0.3">
      <c r="A112">
        <v>111</v>
      </c>
      <c r="B112">
        <v>2</v>
      </c>
      <c r="C112">
        <v>5</v>
      </c>
      <c r="D112">
        <v>6</v>
      </c>
      <c r="E112">
        <v>0</v>
      </c>
      <c r="F112">
        <v>0</v>
      </c>
      <c r="G112">
        <v>33.33</v>
      </c>
      <c r="H112">
        <v>3</v>
      </c>
      <c r="I112" t="s">
        <v>0</v>
      </c>
      <c r="J112">
        <v>1</v>
      </c>
      <c r="K112" t="s">
        <v>68</v>
      </c>
      <c r="L112" t="s">
        <v>27</v>
      </c>
      <c r="M112" s="1">
        <v>41184</v>
      </c>
      <c r="N112" t="s">
        <v>104</v>
      </c>
      <c r="O112" t="str">
        <f t="shared" si="2"/>
        <v>NO</v>
      </c>
      <c r="P112" t="str">
        <f t="shared" si="3"/>
        <v>NO</v>
      </c>
    </row>
    <row r="113" spans="1:16" x14ac:dyDescent="0.3">
      <c r="A113">
        <v>112</v>
      </c>
      <c r="B113">
        <v>19</v>
      </c>
      <c r="C113">
        <v>70</v>
      </c>
      <c r="D113">
        <v>67</v>
      </c>
      <c r="E113">
        <v>3</v>
      </c>
      <c r="F113">
        <v>0</v>
      </c>
      <c r="G113">
        <v>28.35</v>
      </c>
      <c r="H113">
        <v>5</v>
      </c>
      <c r="I113" t="s">
        <v>7</v>
      </c>
      <c r="J113">
        <v>1</v>
      </c>
      <c r="K113" t="s">
        <v>67</v>
      </c>
      <c r="L113" t="s">
        <v>14</v>
      </c>
      <c r="M113" s="1">
        <v>41228</v>
      </c>
      <c r="N113" t="s">
        <v>102</v>
      </c>
      <c r="O113" t="str">
        <f t="shared" si="2"/>
        <v>NO</v>
      </c>
      <c r="P113" t="str">
        <f t="shared" si="3"/>
        <v>NO</v>
      </c>
    </row>
    <row r="114" spans="1:16" x14ac:dyDescent="0.3">
      <c r="A114">
        <v>113</v>
      </c>
      <c r="B114">
        <v>14</v>
      </c>
      <c r="C114">
        <v>17</v>
      </c>
      <c r="D114">
        <v>21</v>
      </c>
      <c r="E114">
        <v>3</v>
      </c>
      <c r="F114">
        <v>0</v>
      </c>
      <c r="G114">
        <v>66.66</v>
      </c>
      <c r="H114">
        <v>3</v>
      </c>
      <c r="I114" t="s">
        <v>66</v>
      </c>
      <c r="J114">
        <v>4</v>
      </c>
      <c r="K114" t="s">
        <v>67</v>
      </c>
      <c r="L114" t="s">
        <v>14</v>
      </c>
      <c r="M114" s="1">
        <v>41228</v>
      </c>
      <c r="N114" t="s">
        <v>102</v>
      </c>
      <c r="O114" t="str">
        <f t="shared" si="2"/>
        <v>NO</v>
      </c>
      <c r="P114" t="str">
        <f t="shared" si="3"/>
        <v>NO</v>
      </c>
    </row>
    <row r="115" spans="1:16" x14ac:dyDescent="0.3">
      <c r="A115">
        <v>114</v>
      </c>
      <c r="B115">
        <v>19</v>
      </c>
      <c r="C115">
        <v>65</v>
      </c>
      <c r="D115">
        <v>55</v>
      </c>
      <c r="E115">
        <v>3</v>
      </c>
      <c r="F115">
        <v>0</v>
      </c>
      <c r="G115">
        <v>34.54</v>
      </c>
      <c r="H115">
        <v>5</v>
      </c>
      <c r="I115" t="s">
        <v>0</v>
      </c>
      <c r="J115">
        <v>1</v>
      </c>
      <c r="K115" t="s">
        <v>67</v>
      </c>
      <c r="L115" t="s">
        <v>20</v>
      </c>
      <c r="M115" s="1">
        <v>41236</v>
      </c>
      <c r="N115" t="s">
        <v>102</v>
      </c>
      <c r="O115" t="str">
        <f t="shared" si="2"/>
        <v>NO</v>
      </c>
      <c r="P115" t="str">
        <f t="shared" si="3"/>
        <v>NO</v>
      </c>
    </row>
    <row r="116" spans="1:16" x14ac:dyDescent="0.3">
      <c r="A116">
        <v>115</v>
      </c>
      <c r="B116">
        <v>7</v>
      </c>
      <c r="C116">
        <v>16</v>
      </c>
      <c r="D116">
        <v>13</v>
      </c>
      <c r="E116">
        <v>1</v>
      </c>
      <c r="F116">
        <v>0</v>
      </c>
      <c r="G116">
        <v>53.84</v>
      </c>
      <c r="H116">
        <v>5</v>
      </c>
      <c r="I116" t="s">
        <v>0</v>
      </c>
      <c r="J116">
        <v>3</v>
      </c>
      <c r="K116" t="s">
        <v>67</v>
      </c>
      <c r="L116" t="s">
        <v>20</v>
      </c>
      <c r="M116" s="1">
        <v>41236</v>
      </c>
      <c r="N116" t="s">
        <v>102</v>
      </c>
      <c r="O116" t="str">
        <f t="shared" si="2"/>
        <v>NO</v>
      </c>
      <c r="P116" t="str">
        <f t="shared" si="3"/>
        <v>NO</v>
      </c>
    </row>
    <row r="117" spans="1:16" x14ac:dyDescent="0.3">
      <c r="A117">
        <v>116</v>
      </c>
      <c r="B117">
        <v>6</v>
      </c>
      <c r="C117">
        <v>31</v>
      </c>
      <c r="D117">
        <v>24</v>
      </c>
      <c r="E117">
        <v>1</v>
      </c>
      <c r="F117">
        <v>0</v>
      </c>
      <c r="G117">
        <v>25</v>
      </c>
      <c r="H117">
        <v>5</v>
      </c>
      <c r="I117" t="s">
        <v>0</v>
      </c>
      <c r="J117">
        <v>1</v>
      </c>
      <c r="K117" t="s">
        <v>67</v>
      </c>
      <c r="L117" t="s">
        <v>21</v>
      </c>
      <c r="M117" s="1">
        <v>41248</v>
      </c>
      <c r="N117" t="s">
        <v>102</v>
      </c>
      <c r="O117" t="str">
        <f t="shared" si="2"/>
        <v>NO</v>
      </c>
      <c r="P117" t="str">
        <f t="shared" si="3"/>
        <v>NO</v>
      </c>
    </row>
    <row r="118" spans="1:16" x14ac:dyDescent="0.3">
      <c r="A118">
        <v>117</v>
      </c>
      <c r="B118">
        <v>20</v>
      </c>
      <c r="C118">
        <v>86</v>
      </c>
      <c r="D118">
        <v>60</v>
      </c>
      <c r="E118">
        <v>3</v>
      </c>
      <c r="F118">
        <v>0</v>
      </c>
      <c r="G118">
        <v>33.33</v>
      </c>
      <c r="H118">
        <v>5</v>
      </c>
      <c r="I118" t="s">
        <v>0</v>
      </c>
      <c r="J118">
        <v>3</v>
      </c>
      <c r="K118" t="s">
        <v>67</v>
      </c>
      <c r="L118" t="s">
        <v>21</v>
      </c>
      <c r="M118" s="1">
        <v>41248</v>
      </c>
      <c r="N118" t="s">
        <v>102</v>
      </c>
      <c r="O118" t="str">
        <f t="shared" si="2"/>
        <v>NO</v>
      </c>
      <c r="P118" t="str">
        <f t="shared" si="3"/>
        <v>NO</v>
      </c>
    </row>
    <row r="119" spans="1:16" x14ac:dyDescent="0.3">
      <c r="A119">
        <v>118</v>
      </c>
      <c r="B119">
        <v>103</v>
      </c>
      <c r="C119">
        <v>356</v>
      </c>
      <c r="D119">
        <v>295</v>
      </c>
      <c r="E119">
        <v>11</v>
      </c>
      <c r="F119">
        <v>0</v>
      </c>
      <c r="G119">
        <v>34.909999999999997</v>
      </c>
      <c r="H119">
        <v>5</v>
      </c>
      <c r="I119" t="s">
        <v>4</v>
      </c>
      <c r="J119">
        <v>2</v>
      </c>
      <c r="K119" t="s">
        <v>67</v>
      </c>
      <c r="L119" t="s">
        <v>28</v>
      </c>
      <c r="M119" s="1">
        <v>41256</v>
      </c>
      <c r="N119" t="s">
        <v>102</v>
      </c>
      <c r="O119" t="str">
        <f t="shared" si="2"/>
        <v>YES</v>
      </c>
      <c r="P119" t="str">
        <f t="shared" si="3"/>
        <v>NO</v>
      </c>
    </row>
    <row r="120" spans="1:16" x14ac:dyDescent="0.3">
      <c r="A120">
        <v>119</v>
      </c>
      <c r="B120">
        <v>21</v>
      </c>
      <c r="C120">
        <v>35</v>
      </c>
      <c r="D120">
        <v>17</v>
      </c>
      <c r="E120">
        <v>2</v>
      </c>
      <c r="F120">
        <v>0</v>
      </c>
      <c r="G120">
        <v>123.52</v>
      </c>
      <c r="H120">
        <v>3</v>
      </c>
      <c r="I120" t="s">
        <v>7</v>
      </c>
      <c r="J120">
        <v>2</v>
      </c>
      <c r="K120" t="s">
        <v>67</v>
      </c>
      <c r="L120" t="s">
        <v>29</v>
      </c>
      <c r="M120" s="1">
        <v>41263</v>
      </c>
      <c r="N120" t="s">
        <v>104</v>
      </c>
      <c r="O120" t="str">
        <f t="shared" si="2"/>
        <v>NO</v>
      </c>
      <c r="P120" t="str">
        <f t="shared" si="3"/>
        <v>NO</v>
      </c>
    </row>
    <row r="121" spans="1:16" x14ac:dyDescent="0.3">
      <c r="A121">
        <v>120</v>
      </c>
      <c r="B121">
        <v>38</v>
      </c>
      <c r="C121">
        <v>25</v>
      </c>
      <c r="D121">
        <v>20</v>
      </c>
      <c r="E121">
        <v>7</v>
      </c>
      <c r="F121">
        <v>0</v>
      </c>
      <c r="G121">
        <v>190</v>
      </c>
      <c r="H121">
        <v>3</v>
      </c>
      <c r="I121" t="s">
        <v>4</v>
      </c>
      <c r="J121">
        <v>1</v>
      </c>
      <c r="K121" t="s">
        <v>67</v>
      </c>
      <c r="L121" t="s">
        <v>20</v>
      </c>
      <c r="M121" s="1">
        <v>41265</v>
      </c>
      <c r="N121" t="s">
        <v>104</v>
      </c>
      <c r="O121" t="str">
        <f t="shared" si="2"/>
        <v>NO</v>
      </c>
      <c r="P121" t="str">
        <f t="shared" si="3"/>
        <v>NO</v>
      </c>
    </row>
    <row r="122" spans="1:16" x14ac:dyDescent="0.3">
      <c r="A122">
        <v>121</v>
      </c>
      <c r="B122">
        <v>9</v>
      </c>
      <c r="C122">
        <v>15</v>
      </c>
      <c r="D122">
        <v>11</v>
      </c>
      <c r="E122">
        <v>1</v>
      </c>
      <c r="F122">
        <v>0</v>
      </c>
      <c r="G122">
        <v>81.81</v>
      </c>
      <c r="H122">
        <v>3</v>
      </c>
      <c r="I122" t="s">
        <v>0</v>
      </c>
      <c r="J122">
        <v>1</v>
      </c>
      <c r="K122" t="s">
        <v>84</v>
      </c>
      <c r="L122" t="s">
        <v>12</v>
      </c>
      <c r="M122" s="1">
        <v>41268</v>
      </c>
      <c r="N122" t="s">
        <v>104</v>
      </c>
      <c r="O122" t="str">
        <f t="shared" si="2"/>
        <v>NO</v>
      </c>
      <c r="P122" t="str">
        <f t="shared" si="3"/>
        <v>NO</v>
      </c>
    </row>
    <row r="123" spans="1:16" x14ac:dyDescent="0.3">
      <c r="A123">
        <v>122</v>
      </c>
      <c r="B123">
        <v>27</v>
      </c>
      <c r="C123">
        <v>31</v>
      </c>
      <c r="D123">
        <v>22</v>
      </c>
      <c r="E123">
        <v>3</v>
      </c>
      <c r="F123">
        <v>0</v>
      </c>
      <c r="G123">
        <v>122.72</v>
      </c>
      <c r="H123">
        <v>3</v>
      </c>
      <c r="I123" t="s">
        <v>64</v>
      </c>
      <c r="J123">
        <v>1</v>
      </c>
      <c r="K123" t="s">
        <v>84</v>
      </c>
      <c r="L123" t="s">
        <v>14</v>
      </c>
      <c r="M123" s="1">
        <v>41271</v>
      </c>
      <c r="N123" t="s">
        <v>104</v>
      </c>
      <c r="O123" t="str">
        <f t="shared" si="2"/>
        <v>NO</v>
      </c>
      <c r="P123" t="str">
        <f t="shared" si="3"/>
        <v>NO</v>
      </c>
    </row>
    <row r="124" spans="1:16" x14ac:dyDescent="0.3">
      <c r="A124">
        <v>123</v>
      </c>
      <c r="B124">
        <v>0</v>
      </c>
      <c r="C124">
        <v>9</v>
      </c>
      <c r="D124">
        <v>5</v>
      </c>
      <c r="E124">
        <v>0</v>
      </c>
      <c r="F124">
        <v>0</v>
      </c>
      <c r="G124">
        <v>0</v>
      </c>
      <c r="H124">
        <v>3</v>
      </c>
      <c r="I124" t="s">
        <v>7</v>
      </c>
      <c r="J124">
        <v>1</v>
      </c>
      <c r="K124" t="s">
        <v>84</v>
      </c>
      <c r="L124" t="s">
        <v>30</v>
      </c>
      <c r="M124" s="1">
        <v>41273</v>
      </c>
      <c r="N124" t="s">
        <v>103</v>
      </c>
      <c r="O124" t="str">
        <f t="shared" si="2"/>
        <v>NO</v>
      </c>
      <c r="P124" t="str">
        <f t="shared" si="3"/>
        <v>NO</v>
      </c>
    </row>
    <row r="125" spans="1:16" x14ac:dyDescent="0.3">
      <c r="A125">
        <v>124</v>
      </c>
      <c r="B125">
        <v>6</v>
      </c>
      <c r="C125">
        <v>12</v>
      </c>
      <c r="D125">
        <v>9</v>
      </c>
      <c r="E125">
        <v>1</v>
      </c>
      <c r="F125">
        <v>0</v>
      </c>
      <c r="G125">
        <v>66.66</v>
      </c>
      <c r="H125">
        <v>3</v>
      </c>
      <c r="I125" t="s">
        <v>0</v>
      </c>
      <c r="J125">
        <v>2</v>
      </c>
      <c r="K125" t="s">
        <v>84</v>
      </c>
      <c r="L125" t="s">
        <v>21</v>
      </c>
      <c r="M125" s="1">
        <v>41277</v>
      </c>
      <c r="N125" t="s">
        <v>103</v>
      </c>
      <c r="O125" t="str">
        <f t="shared" si="2"/>
        <v>NO</v>
      </c>
      <c r="P125" t="str">
        <f t="shared" si="3"/>
        <v>NO</v>
      </c>
    </row>
    <row r="126" spans="1:16" x14ac:dyDescent="0.3">
      <c r="A126">
        <v>125</v>
      </c>
      <c r="B126">
        <v>7</v>
      </c>
      <c r="C126">
        <v>25</v>
      </c>
      <c r="D126">
        <v>17</v>
      </c>
      <c r="E126">
        <v>1</v>
      </c>
      <c r="F126">
        <v>0</v>
      </c>
      <c r="G126">
        <v>41.17</v>
      </c>
      <c r="H126">
        <v>3</v>
      </c>
      <c r="I126" t="s">
        <v>0</v>
      </c>
      <c r="J126">
        <v>1</v>
      </c>
      <c r="K126" t="s">
        <v>84</v>
      </c>
      <c r="L126" t="s">
        <v>13</v>
      </c>
      <c r="M126" s="1">
        <v>41280</v>
      </c>
      <c r="N126" t="s">
        <v>103</v>
      </c>
      <c r="O126" t="str">
        <f t="shared" si="2"/>
        <v>NO</v>
      </c>
      <c r="P126" t="str">
        <f t="shared" si="3"/>
        <v>NO</v>
      </c>
    </row>
    <row r="127" spans="1:16" x14ac:dyDescent="0.3">
      <c r="A127">
        <v>126</v>
      </c>
      <c r="B127">
        <v>15</v>
      </c>
      <c r="C127">
        <v>45</v>
      </c>
      <c r="D127">
        <v>22</v>
      </c>
      <c r="E127">
        <v>1</v>
      </c>
      <c r="F127">
        <v>0</v>
      </c>
      <c r="G127">
        <v>68.180000000000007</v>
      </c>
      <c r="H127">
        <v>3</v>
      </c>
      <c r="I127" t="s">
        <v>0</v>
      </c>
      <c r="J127">
        <v>2</v>
      </c>
      <c r="K127" t="s">
        <v>67</v>
      </c>
      <c r="L127" t="s">
        <v>31</v>
      </c>
      <c r="M127" s="1">
        <v>41285</v>
      </c>
      <c r="N127" t="s">
        <v>103</v>
      </c>
      <c r="O127" t="str">
        <f t="shared" si="2"/>
        <v>NO</v>
      </c>
      <c r="P127" t="str">
        <f t="shared" si="3"/>
        <v>NO</v>
      </c>
    </row>
    <row r="128" spans="1:16" x14ac:dyDescent="0.3">
      <c r="A128">
        <v>127</v>
      </c>
      <c r="B128">
        <v>37</v>
      </c>
      <c r="C128">
        <v>86</v>
      </c>
      <c r="D128">
        <v>54</v>
      </c>
      <c r="E128">
        <v>1</v>
      </c>
      <c r="F128">
        <v>1</v>
      </c>
      <c r="G128">
        <v>68.510000000000005</v>
      </c>
      <c r="H128">
        <v>3</v>
      </c>
      <c r="I128" t="s">
        <v>0</v>
      </c>
      <c r="J128">
        <v>1</v>
      </c>
      <c r="K128" t="s">
        <v>67</v>
      </c>
      <c r="L128" t="s">
        <v>32</v>
      </c>
      <c r="M128" s="1">
        <v>41289</v>
      </c>
      <c r="N128" t="s">
        <v>103</v>
      </c>
      <c r="O128" t="str">
        <f t="shared" si="2"/>
        <v>NO</v>
      </c>
      <c r="P128" t="str">
        <f t="shared" si="3"/>
        <v>NO</v>
      </c>
    </row>
    <row r="129" spans="1:16" x14ac:dyDescent="0.3">
      <c r="A129">
        <v>128</v>
      </c>
      <c r="B129">
        <v>77</v>
      </c>
      <c r="C129">
        <v>110</v>
      </c>
      <c r="D129">
        <v>79</v>
      </c>
      <c r="E129">
        <v>9</v>
      </c>
      <c r="F129">
        <v>2</v>
      </c>
      <c r="G129">
        <v>97.46</v>
      </c>
      <c r="H129">
        <v>3</v>
      </c>
      <c r="I129" t="s">
        <v>66</v>
      </c>
      <c r="J129">
        <v>2</v>
      </c>
      <c r="K129" t="s">
        <v>67</v>
      </c>
      <c r="L129" t="s">
        <v>33</v>
      </c>
      <c r="M129" s="1">
        <v>41293</v>
      </c>
      <c r="N129" t="s">
        <v>103</v>
      </c>
      <c r="O129" t="str">
        <f t="shared" si="2"/>
        <v>NO</v>
      </c>
      <c r="P129" t="str">
        <f t="shared" si="3"/>
        <v>YES</v>
      </c>
    </row>
    <row r="130" spans="1:16" x14ac:dyDescent="0.3">
      <c r="A130">
        <v>129</v>
      </c>
      <c r="B130">
        <v>26</v>
      </c>
      <c r="C130">
        <v>44</v>
      </c>
      <c r="D130">
        <v>33</v>
      </c>
      <c r="E130">
        <v>3</v>
      </c>
      <c r="F130">
        <v>0</v>
      </c>
      <c r="G130">
        <v>78.78</v>
      </c>
      <c r="H130">
        <v>3</v>
      </c>
      <c r="I130" t="s">
        <v>0</v>
      </c>
      <c r="J130">
        <v>2</v>
      </c>
      <c r="K130" t="s">
        <v>67</v>
      </c>
      <c r="L130" t="s">
        <v>5</v>
      </c>
      <c r="M130" s="1">
        <v>41297</v>
      </c>
      <c r="N130" t="s">
        <v>103</v>
      </c>
      <c r="O130" t="str">
        <f t="shared" si="2"/>
        <v>NO</v>
      </c>
      <c r="P130" t="str">
        <f t="shared" si="3"/>
        <v>NO</v>
      </c>
    </row>
    <row r="131" spans="1:16" x14ac:dyDescent="0.3">
      <c r="A131">
        <v>130</v>
      </c>
      <c r="B131">
        <v>0</v>
      </c>
      <c r="C131">
        <v>1</v>
      </c>
      <c r="D131">
        <v>1</v>
      </c>
      <c r="E131">
        <v>0</v>
      </c>
      <c r="F131">
        <v>0</v>
      </c>
      <c r="G131">
        <v>0</v>
      </c>
      <c r="H131">
        <v>3</v>
      </c>
      <c r="I131" t="s">
        <v>0</v>
      </c>
      <c r="J131">
        <v>1</v>
      </c>
      <c r="K131" t="s">
        <v>67</v>
      </c>
      <c r="L131" t="s">
        <v>34</v>
      </c>
      <c r="M131" s="1">
        <v>41301</v>
      </c>
      <c r="N131" t="s">
        <v>103</v>
      </c>
      <c r="O131" t="str">
        <f t="shared" ref="O131:O194" si="4">IF(B131&gt;100,"YES","NO")</f>
        <v>NO</v>
      </c>
      <c r="P131" t="str">
        <f t="shared" ref="P131:P194" si="5">IF(AND(B131&gt;=50,B131&lt;100),"YES","NO")</f>
        <v>NO</v>
      </c>
    </row>
    <row r="132" spans="1:16" x14ac:dyDescent="0.3">
      <c r="A132">
        <v>131</v>
      </c>
      <c r="B132">
        <v>107</v>
      </c>
      <c r="C132">
        <v>266</v>
      </c>
      <c r="D132">
        <v>206</v>
      </c>
      <c r="E132">
        <v>15</v>
      </c>
      <c r="F132">
        <v>1</v>
      </c>
      <c r="G132">
        <v>51.94</v>
      </c>
      <c r="H132">
        <v>5</v>
      </c>
      <c r="I132" t="s">
        <v>0</v>
      </c>
      <c r="J132">
        <v>2</v>
      </c>
      <c r="K132" t="s">
        <v>63</v>
      </c>
      <c r="L132" t="s">
        <v>30</v>
      </c>
      <c r="M132" s="1">
        <v>41327</v>
      </c>
      <c r="N132" t="s">
        <v>102</v>
      </c>
      <c r="O132" t="str">
        <f t="shared" si="4"/>
        <v>YES</v>
      </c>
      <c r="P132" t="str">
        <f t="shared" si="5"/>
        <v>NO</v>
      </c>
    </row>
    <row r="133" spans="1:16" x14ac:dyDescent="0.3">
      <c r="A133">
        <v>132</v>
      </c>
      <c r="B133">
        <v>1</v>
      </c>
      <c r="C133">
        <v>11</v>
      </c>
      <c r="D133">
        <v>8</v>
      </c>
      <c r="E133">
        <v>0</v>
      </c>
      <c r="F133">
        <v>0</v>
      </c>
      <c r="G133">
        <v>12.5</v>
      </c>
      <c r="H133">
        <v>3</v>
      </c>
      <c r="I133" t="s">
        <v>4</v>
      </c>
      <c r="J133">
        <v>2</v>
      </c>
      <c r="K133" t="s">
        <v>63</v>
      </c>
      <c r="L133" t="s">
        <v>13</v>
      </c>
      <c r="M133" s="1">
        <v>41355</v>
      </c>
      <c r="N133" t="s">
        <v>102</v>
      </c>
      <c r="O133" t="str">
        <f t="shared" si="4"/>
        <v>NO</v>
      </c>
      <c r="P133" t="str">
        <f t="shared" si="5"/>
        <v>NO</v>
      </c>
    </row>
    <row r="134" spans="1:16" x14ac:dyDescent="0.3">
      <c r="A134">
        <v>133</v>
      </c>
      <c r="B134">
        <v>41</v>
      </c>
      <c r="C134">
        <v>76</v>
      </c>
      <c r="D134">
        <v>60</v>
      </c>
      <c r="E134">
        <v>4</v>
      </c>
      <c r="F134">
        <v>0</v>
      </c>
      <c r="G134">
        <v>68.33</v>
      </c>
      <c r="H134">
        <v>3</v>
      </c>
      <c r="I134" t="s">
        <v>4</v>
      </c>
      <c r="J134">
        <v>4</v>
      </c>
      <c r="K134" t="s">
        <v>63</v>
      </c>
      <c r="L134" t="s">
        <v>13</v>
      </c>
      <c r="M134" s="1">
        <v>41355</v>
      </c>
      <c r="N134" t="s">
        <v>102</v>
      </c>
      <c r="O134" t="str">
        <f t="shared" si="4"/>
        <v>NO</v>
      </c>
      <c r="P134" t="str">
        <f t="shared" si="5"/>
        <v>NO</v>
      </c>
    </row>
    <row r="135" spans="1:16" x14ac:dyDescent="0.3">
      <c r="A135">
        <v>134</v>
      </c>
      <c r="B135">
        <v>31</v>
      </c>
      <c r="C135">
        <v>46</v>
      </c>
      <c r="D135">
        <v>41</v>
      </c>
      <c r="E135">
        <v>2</v>
      </c>
      <c r="F135">
        <v>0</v>
      </c>
      <c r="G135">
        <v>75.599999999999994</v>
      </c>
      <c r="H135">
        <v>3</v>
      </c>
      <c r="I135" t="s">
        <v>0</v>
      </c>
      <c r="J135">
        <v>1</v>
      </c>
      <c r="K135" t="s">
        <v>68</v>
      </c>
      <c r="L135" t="s">
        <v>18</v>
      </c>
      <c r="M135" s="1">
        <v>41431</v>
      </c>
      <c r="N135" t="s">
        <v>103</v>
      </c>
      <c r="O135" t="str">
        <f t="shared" si="4"/>
        <v>NO</v>
      </c>
      <c r="P135" t="str">
        <f t="shared" si="5"/>
        <v>NO</v>
      </c>
    </row>
    <row r="136" spans="1:16" x14ac:dyDescent="0.3">
      <c r="A136">
        <v>135</v>
      </c>
      <c r="B136">
        <v>22</v>
      </c>
      <c r="C136">
        <v>18</v>
      </c>
      <c r="D136">
        <v>18</v>
      </c>
      <c r="E136">
        <v>4</v>
      </c>
      <c r="F136">
        <v>0</v>
      </c>
      <c r="G136">
        <v>122.22</v>
      </c>
      <c r="H136">
        <v>3</v>
      </c>
      <c r="I136" t="s">
        <v>7</v>
      </c>
      <c r="J136">
        <v>2</v>
      </c>
      <c r="K136" t="s">
        <v>60</v>
      </c>
      <c r="L136" t="s">
        <v>17</v>
      </c>
      <c r="M136" s="1">
        <v>41436</v>
      </c>
      <c r="N136" t="s">
        <v>103</v>
      </c>
      <c r="O136" t="str">
        <f t="shared" si="4"/>
        <v>NO</v>
      </c>
      <c r="P136" t="str">
        <f t="shared" si="5"/>
        <v>NO</v>
      </c>
    </row>
    <row r="137" spans="1:16" x14ac:dyDescent="0.3">
      <c r="A137">
        <v>136</v>
      </c>
      <c r="B137">
        <v>22</v>
      </c>
      <c r="C137">
        <v>36</v>
      </c>
      <c r="D137">
        <v>27</v>
      </c>
      <c r="E137">
        <v>3</v>
      </c>
      <c r="F137">
        <v>0</v>
      </c>
      <c r="G137">
        <v>81.48</v>
      </c>
      <c r="H137">
        <v>3</v>
      </c>
      <c r="I137" t="s">
        <v>66</v>
      </c>
      <c r="J137">
        <v>2</v>
      </c>
      <c r="K137" t="s">
        <v>84</v>
      </c>
      <c r="L137" t="s">
        <v>35</v>
      </c>
      <c r="M137" s="1">
        <v>41440</v>
      </c>
      <c r="N137" t="s">
        <v>103</v>
      </c>
      <c r="O137" t="str">
        <f t="shared" si="4"/>
        <v>NO</v>
      </c>
      <c r="P137" t="str">
        <f t="shared" si="5"/>
        <v>NO</v>
      </c>
    </row>
    <row r="138" spans="1:16" x14ac:dyDescent="0.3">
      <c r="A138">
        <v>137</v>
      </c>
      <c r="B138">
        <v>58</v>
      </c>
      <c r="C138">
        <v>80</v>
      </c>
      <c r="D138">
        <v>64</v>
      </c>
      <c r="E138">
        <v>4</v>
      </c>
      <c r="F138">
        <v>1</v>
      </c>
      <c r="G138">
        <v>90.62</v>
      </c>
      <c r="H138">
        <v>3</v>
      </c>
      <c r="I138" t="s">
        <v>66</v>
      </c>
      <c r="J138">
        <v>2</v>
      </c>
      <c r="K138" t="s">
        <v>74</v>
      </c>
      <c r="L138" t="s">
        <v>18</v>
      </c>
      <c r="M138" s="1">
        <v>41445</v>
      </c>
      <c r="N138" t="s">
        <v>103</v>
      </c>
      <c r="O138" t="str">
        <f t="shared" si="4"/>
        <v>NO</v>
      </c>
      <c r="P138" t="str">
        <f t="shared" si="5"/>
        <v>YES</v>
      </c>
    </row>
    <row r="139" spans="1:16" x14ac:dyDescent="0.3">
      <c r="A139">
        <v>138</v>
      </c>
      <c r="B139">
        <v>43</v>
      </c>
      <c r="C139">
        <v>66</v>
      </c>
      <c r="D139">
        <v>34</v>
      </c>
      <c r="E139">
        <v>4</v>
      </c>
      <c r="F139">
        <v>1</v>
      </c>
      <c r="G139">
        <v>126.47</v>
      </c>
      <c r="H139">
        <v>3</v>
      </c>
      <c r="I139" t="s">
        <v>0</v>
      </c>
      <c r="J139">
        <v>1</v>
      </c>
      <c r="K139" t="s">
        <v>67</v>
      </c>
      <c r="L139" t="s">
        <v>35</v>
      </c>
      <c r="M139" s="1">
        <v>41448</v>
      </c>
      <c r="N139" t="s">
        <v>103</v>
      </c>
      <c r="O139" t="str">
        <f t="shared" si="4"/>
        <v>NO</v>
      </c>
      <c r="P139" t="str">
        <f t="shared" si="5"/>
        <v>NO</v>
      </c>
    </row>
    <row r="140" spans="1:16" x14ac:dyDescent="0.3">
      <c r="A140">
        <v>139</v>
      </c>
      <c r="B140">
        <v>11</v>
      </c>
      <c r="C140">
        <v>19</v>
      </c>
      <c r="D140">
        <v>21</v>
      </c>
      <c r="E140">
        <v>0</v>
      </c>
      <c r="F140">
        <v>1</v>
      </c>
      <c r="G140">
        <v>52.38</v>
      </c>
      <c r="H140">
        <v>3</v>
      </c>
      <c r="I140" t="s">
        <v>0</v>
      </c>
      <c r="J140">
        <v>1</v>
      </c>
      <c r="K140" t="s">
        <v>60</v>
      </c>
      <c r="L140" t="s">
        <v>61</v>
      </c>
      <c r="M140" s="1">
        <v>41455</v>
      </c>
      <c r="N140" t="s">
        <v>103</v>
      </c>
      <c r="O140" t="str">
        <f t="shared" si="4"/>
        <v>NO</v>
      </c>
      <c r="P140" t="str">
        <f t="shared" si="5"/>
        <v>NO</v>
      </c>
    </row>
    <row r="141" spans="1:16" x14ac:dyDescent="0.3">
      <c r="A141">
        <v>140</v>
      </c>
      <c r="B141">
        <v>2</v>
      </c>
      <c r="C141">
        <v>6</v>
      </c>
      <c r="D141">
        <v>5</v>
      </c>
      <c r="E141">
        <v>0</v>
      </c>
      <c r="F141">
        <v>0</v>
      </c>
      <c r="G141">
        <v>40</v>
      </c>
      <c r="H141">
        <v>4</v>
      </c>
      <c r="I141" t="s">
        <v>0</v>
      </c>
      <c r="J141">
        <v>2</v>
      </c>
      <c r="K141" t="s">
        <v>74</v>
      </c>
      <c r="L141" t="s">
        <v>61</v>
      </c>
      <c r="M141" s="1">
        <v>41457</v>
      </c>
      <c r="N141" t="s">
        <v>103</v>
      </c>
      <c r="O141" t="str">
        <f t="shared" si="4"/>
        <v>NO</v>
      </c>
      <c r="P141" t="str">
        <f t="shared" si="5"/>
        <v>NO</v>
      </c>
    </row>
    <row r="142" spans="1:16" x14ac:dyDescent="0.3">
      <c r="A142">
        <v>141</v>
      </c>
      <c r="B142">
        <v>102</v>
      </c>
      <c r="C142">
        <v>120</v>
      </c>
      <c r="D142">
        <v>83</v>
      </c>
      <c r="E142">
        <v>13</v>
      </c>
      <c r="F142">
        <v>2</v>
      </c>
      <c r="G142">
        <v>122.89</v>
      </c>
      <c r="H142">
        <v>3</v>
      </c>
      <c r="I142" t="s">
        <v>0</v>
      </c>
      <c r="J142">
        <v>1</v>
      </c>
      <c r="K142" t="s">
        <v>60</v>
      </c>
      <c r="L142" t="s">
        <v>78</v>
      </c>
      <c r="M142" s="1">
        <v>41460</v>
      </c>
      <c r="N142" t="s">
        <v>103</v>
      </c>
      <c r="O142" t="str">
        <f t="shared" si="4"/>
        <v>YES</v>
      </c>
      <c r="P142" t="str">
        <f t="shared" si="5"/>
        <v>NO</v>
      </c>
    </row>
    <row r="143" spans="1:16" x14ac:dyDescent="0.3">
      <c r="A143">
        <v>142</v>
      </c>
      <c r="B143">
        <v>31</v>
      </c>
      <c r="C143">
        <v>62</v>
      </c>
      <c r="D143">
        <v>52</v>
      </c>
      <c r="E143">
        <v>4</v>
      </c>
      <c r="F143">
        <v>0</v>
      </c>
      <c r="G143">
        <v>59.61</v>
      </c>
      <c r="H143">
        <v>3</v>
      </c>
      <c r="I143" t="s">
        <v>4</v>
      </c>
      <c r="J143">
        <v>1</v>
      </c>
      <c r="K143" t="s">
        <v>74</v>
      </c>
      <c r="L143" t="s">
        <v>78</v>
      </c>
      <c r="M143" s="1">
        <v>41464</v>
      </c>
      <c r="N143" t="s">
        <v>103</v>
      </c>
      <c r="O143" t="str">
        <f t="shared" si="4"/>
        <v>NO</v>
      </c>
      <c r="P143" t="str">
        <f t="shared" si="5"/>
        <v>NO</v>
      </c>
    </row>
    <row r="144" spans="1:16" x14ac:dyDescent="0.3">
      <c r="A144">
        <v>143</v>
      </c>
      <c r="B144">
        <v>2</v>
      </c>
      <c r="C144">
        <v>8</v>
      </c>
      <c r="D144">
        <v>5</v>
      </c>
      <c r="E144">
        <v>0</v>
      </c>
      <c r="F144">
        <v>0</v>
      </c>
      <c r="G144">
        <v>40</v>
      </c>
      <c r="H144">
        <v>3</v>
      </c>
      <c r="I144" t="s">
        <v>0</v>
      </c>
      <c r="J144">
        <v>2</v>
      </c>
      <c r="K144" t="s">
        <v>74</v>
      </c>
      <c r="L144" t="s">
        <v>78</v>
      </c>
      <c r="M144" s="1">
        <v>41466</v>
      </c>
      <c r="N144" t="s">
        <v>103</v>
      </c>
      <c r="O144" t="str">
        <f t="shared" si="4"/>
        <v>NO</v>
      </c>
      <c r="P144" t="str">
        <f t="shared" si="5"/>
        <v>NO</v>
      </c>
    </row>
    <row r="145" spans="1:16" x14ac:dyDescent="0.3">
      <c r="A145">
        <v>144</v>
      </c>
      <c r="B145">
        <v>115</v>
      </c>
      <c r="C145">
        <v>133</v>
      </c>
      <c r="D145">
        <v>108</v>
      </c>
      <c r="E145">
        <v>13</v>
      </c>
      <c r="F145">
        <v>1</v>
      </c>
      <c r="G145">
        <v>106.48</v>
      </c>
      <c r="H145">
        <v>3</v>
      </c>
      <c r="I145" t="s">
        <v>0</v>
      </c>
      <c r="J145">
        <v>2</v>
      </c>
      <c r="K145" t="s">
        <v>82</v>
      </c>
      <c r="L145" t="s">
        <v>9</v>
      </c>
      <c r="M145" s="1">
        <v>41479</v>
      </c>
      <c r="N145" t="s">
        <v>103</v>
      </c>
      <c r="O145" t="str">
        <f t="shared" si="4"/>
        <v>YES</v>
      </c>
      <c r="P145" t="str">
        <f t="shared" si="5"/>
        <v>NO</v>
      </c>
    </row>
    <row r="146" spans="1:16" x14ac:dyDescent="0.3">
      <c r="A146">
        <v>145</v>
      </c>
      <c r="B146">
        <v>14</v>
      </c>
      <c r="C146">
        <v>35</v>
      </c>
      <c r="D146">
        <v>18</v>
      </c>
      <c r="E146">
        <v>2</v>
      </c>
      <c r="F146">
        <v>0</v>
      </c>
      <c r="G146">
        <v>77.77</v>
      </c>
      <c r="H146">
        <v>3</v>
      </c>
      <c r="I146" t="s">
        <v>0</v>
      </c>
      <c r="J146">
        <v>1</v>
      </c>
      <c r="K146" t="s">
        <v>82</v>
      </c>
      <c r="L146" t="s">
        <v>9</v>
      </c>
      <c r="M146" s="1">
        <v>41481</v>
      </c>
      <c r="N146" t="s">
        <v>103</v>
      </c>
      <c r="O146" t="str">
        <f t="shared" si="4"/>
        <v>NO</v>
      </c>
      <c r="P146" t="str">
        <f t="shared" si="5"/>
        <v>NO</v>
      </c>
    </row>
    <row r="147" spans="1:16" x14ac:dyDescent="0.3">
      <c r="A147">
        <v>146</v>
      </c>
      <c r="B147">
        <v>68</v>
      </c>
      <c r="C147">
        <v>128</v>
      </c>
      <c r="D147">
        <v>88</v>
      </c>
      <c r="E147">
        <v>5</v>
      </c>
      <c r="F147">
        <v>1</v>
      </c>
      <c r="G147">
        <v>77.27</v>
      </c>
      <c r="H147">
        <v>3</v>
      </c>
      <c r="I147" t="s">
        <v>66</v>
      </c>
      <c r="J147">
        <v>2</v>
      </c>
      <c r="K147" t="s">
        <v>82</v>
      </c>
      <c r="L147" t="s">
        <v>9</v>
      </c>
      <c r="M147" s="1">
        <v>41483</v>
      </c>
      <c r="N147" t="s">
        <v>103</v>
      </c>
      <c r="O147" t="str">
        <f t="shared" si="4"/>
        <v>NO</v>
      </c>
      <c r="P147" t="str">
        <f t="shared" si="5"/>
        <v>YES</v>
      </c>
    </row>
    <row r="148" spans="1:16" x14ac:dyDescent="0.3">
      <c r="A148">
        <v>147</v>
      </c>
      <c r="B148">
        <v>29</v>
      </c>
      <c r="C148">
        <v>26</v>
      </c>
      <c r="D148">
        <v>22</v>
      </c>
      <c r="E148">
        <v>2</v>
      </c>
      <c r="F148">
        <v>1</v>
      </c>
      <c r="G148">
        <v>131.81</v>
      </c>
      <c r="H148">
        <v>4</v>
      </c>
      <c r="I148" t="s">
        <v>0</v>
      </c>
      <c r="J148">
        <v>2</v>
      </c>
      <c r="K148" t="s">
        <v>63</v>
      </c>
      <c r="L148" t="s">
        <v>31</v>
      </c>
      <c r="M148" s="1">
        <v>41557</v>
      </c>
      <c r="N148" t="s">
        <v>104</v>
      </c>
      <c r="O148" t="str">
        <f t="shared" si="4"/>
        <v>NO</v>
      </c>
      <c r="P148" t="str">
        <f t="shared" si="5"/>
        <v>NO</v>
      </c>
    </row>
    <row r="149" spans="1:16" x14ac:dyDescent="0.3">
      <c r="A149">
        <v>148</v>
      </c>
      <c r="B149">
        <v>61</v>
      </c>
      <c r="C149">
        <v>121</v>
      </c>
      <c r="D149">
        <v>85</v>
      </c>
      <c r="E149">
        <v>6</v>
      </c>
      <c r="F149">
        <v>0</v>
      </c>
      <c r="G149">
        <v>71.760000000000005</v>
      </c>
      <c r="H149">
        <v>3</v>
      </c>
      <c r="I149" t="s">
        <v>4</v>
      </c>
      <c r="J149">
        <v>2</v>
      </c>
      <c r="K149" t="s">
        <v>63</v>
      </c>
      <c r="L149" t="s">
        <v>29</v>
      </c>
      <c r="M149" s="1">
        <v>41560</v>
      </c>
      <c r="N149" t="s">
        <v>103</v>
      </c>
      <c r="O149" t="str">
        <f t="shared" si="4"/>
        <v>NO</v>
      </c>
      <c r="P149" t="str">
        <f t="shared" si="5"/>
        <v>YES</v>
      </c>
    </row>
    <row r="150" spans="1:16" x14ac:dyDescent="0.3">
      <c r="A150">
        <v>149</v>
      </c>
      <c r="B150">
        <v>100</v>
      </c>
      <c r="C150">
        <v>82</v>
      </c>
      <c r="D150">
        <v>52</v>
      </c>
      <c r="E150">
        <v>8</v>
      </c>
      <c r="F150">
        <v>7</v>
      </c>
      <c r="G150">
        <v>192.3</v>
      </c>
      <c r="H150">
        <v>3</v>
      </c>
      <c r="I150" t="s">
        <v>66</v>
      </c>
      <c r="J150">
        <v>2</v>
      </c>
      <c r="K150" t="s">
        <v>63</v>
      </c>
      <c r="L150" t="s">
        <v>36</v>
      </c>
      <c r="M150" s="1">
        <v>41563</v>
      </c>
      <c r="N150" t="s">
        <v>103</v>
      </c>
      <c r="O150" t="str">
        <f t="shared" si="4"/>
        <v>NO</v>
      </c>
      <c r="P150" t="str">
        <f t="shared" si="5"/>
        <v>NO</v>
      </c>
    </row>
    <row r="151" spans="1:16" x14ac:dyDescent="0.3">
      <c r="A151">
        <v>150</v>
      </c>
      <c r="B151">
        <v>68</v>
      </c>
      <c r="C151">
        <v>121</v>
      </c>
      <c r="D151">
        <v>73</v>
      </c>
      <c r="E151">
        <v>9</v>
      </c>
      <c r="F151">
        <v>0</v>
      </c>
      <c r="G151">
        <v>93.15</v>
      </c>
      <c r="H151">
        <v>3</v>
      </c>
      <c r="I151" t="s">
        <v>0</v>
      </c>
      <c r="J151">
        <v>1</v>
      </c>
      <c r="K151" t="s">
        <v>63</v>
      </c>
      <c r="L151" t="s">
        <v>5</v>
      </c>
      <c r="M151" s="1">
        <v>41566</v>
      </c>
      <c r="N151" t="s">
        <v>103</v>
      </c>
      <c r="O151" t="str">
        <f t="shared" si="4"/>
        <v>NO</v>
      </c>
      <c r="P151" t="str">
        <f t="shared" si="5"/>
        <v>YES</v>
      </c>
    </row>
    <row r="152" spans="1:16" x14ac:dyDescent="0.3">
      <c r="A152">
        <v>151</v>
      </c>
      <c r="B152">
        <v>115</v>
      </c>
      <c r="C152">
        <v>104</v>
      </c>
      <c r="D152">
        <v>66</v>
      </c>
      <c r="E152">
        <v>18</v>
      </c>
      <c r="F152">
        <v>1</v>
      </c>
      <c r="G152">
        <v>174.24</v>
      </c>
      <c r="H152">
        <v>3</v>
      </c>
      <c r="I152" t="s">
        <v>66</v>
      </c>
      <c r="J152">
        <v>2</v>
      </c>
      <c r="K152" t="s">
        <v>63</v>
      </c>
      <c r="L152" t="s">
        <v>28</v>
      </c>
      <c r="M152" s="1">
        <v>41577</v>
      </c>
      <c r="N152" t="s">
        <v>103</v>
      </c>
      <c r="O152" t="str">
        <f t="shared" si="4"/>
        <v>YES</v>
      </c>
      <c r="P152" t="str">
        <f t="shared" si="5"/>
        <v>NO</v>
      </c>
    </row>
    <row r="153" spans="1:16" x14ac:dyDescent="0.3">
      <c r="A153">
        <v>152</v>
      </c>
      <c r="B153">
        <v>0</v>
      </c>
      <c r="C153">
        <v>4</v>
      </c>
      <c r="D153">
        <v>3</v>
      </c>
      <c r="E153">
        <v>0</v>
      </c>
      <c r="F153">
        <v>0</v>
      </c>
      <c r="G153">
        <v>0</v>
      </c>
      <c r="H153">
        <v>3</v>
      </c>
      <c r="I153" t="s">
        <v>64</v>
      </c>
      <c r="J153">
        <v>1</v>
      </c>
      <c r="K153" t="s">
        <v>63</v>
      </c>
      <c r="L153" t="s">
        <v>12</v>
      </c>
      <c r="M153" s="1">
        <v>41580</v>
      </c>
      <c r="N153" t="s">
        <v>103</v>
      </c>
      <c r="O153" t="str">
        <f t="shared" si="4"/>
        <v>NO</v>
      </c>
      <c r="P153" t="str">
        <f t="shared" si="5"/>
        <v>NO</v>
      </c>
    </row>
    <row r="154" spans="1:16" x14ac:dyDescent="0.3">
      <c r="A154">
        <v>153</v>
      </c>
      <c r="B154">
        <v>3</v>
      </c>
      <c r="C154">
        <v>13</v>
      </c>
      <c r="D154">
        <v>5</v>
      </c>
      <c r="E154">
        <v>0</v>
      </c>
      <c r="F154">
        <v>0</v>
      </c>
      <c r="G154">
        <v>60</v>
      </c>
      <c r="H154">
        <v>5</v>
      </c>
      <c r="I154" t="s">
        <v>0</v>
      </c>
      <c r="J154">
        <v>2</v>
      </c>
      <c r="K154" t="s">
        <v>60</v>
      </c>
      <c r="L154" t="s">
        <v>21</v>
      </c>
      <c r="M154" s="1">
        <v>41584</v>
      </c>
      <c r="N154" t="s">
        <v>102</v>
      </c>
      <c r="O154" t="str">
        <f t="shared" si="4"/>
        <v>NO</v>
      </c>
      <c r="P154" t="str">
        <f t="shared" si="5"/>
        <v>NO</v>
      </c>
    </row>
    <row r="155" spans="1:16" x14ac:dyDescent="0.3">
      <c r="A155">
        <v>154</v>
      </c>
      <c r="B155">
        <v>57</v>
      </c>
      <c r="C155">
        <v>80</v>
      </c>
      <c r="D155">
        <v>78</v>
      </c>
      <c r="E155">
        <v>5</v>
      </c>
      <c r="F155">
        <v>0</v>
      </c>
      <c r="G155">
        <v>73.069999999999993</v>
      </c>
      <c r="H155">
        <v>5</v>
      </c>
      <c r="I155" t="s">
        <v>0</v>
      </c>
      <c r="J155">
        <v>2</v>
      </c>
      <c r="K155" t="s">
        <v>60</v>
      </c>
      <c r="L155" t="s">
        <v>20</v>
      </c>
      <c r="M155" s="1">
        <v>41592</v>
      </c>
      <c r="N155" t="s">
        <v>102</v>
      </c>
      <c r="O155" t="str">
        <f t="shared" si="4"/>
        <v>NO</v>
      </c>
      <c r="P155" t="str">
        <f t="shared" si="5"/>
        <v>YES</v>
      </c>
    </row>
    <row r="156" spans="1:16" x14ac:dyDescent="0.3">
      <c r="A156">
        <v>155</v>
      </c>
      <c r="B156">
        <v>86</v>
      </c>
      <c r="C156">
        <v>120</v>
      </c>
      <c r="D156">
        <v>84</v>
      </c>
      <c r="E156">
        <v>9</v>
      </c>
      <c r="F156">
        <v>2</v>
      </c>
      <c r="G156">
        <v>102.38</v>
      </c>
      <c r="H156">
        <v>3</v>
      </c>
      <c r="I156" t="s">
        <v>0</v>
      </c>
      <c r="J156">
        <v>2</v>
      </c>
      <c r="K156" t="s">
        <v>60</v>
      </c>
      <c r="L156" t="s">
        <v>32</v>
      </c>
      <c r="M156" s="1">
        <v>41599</v>
      </c>
      <c r="N156" t="s">
        <v>103</v>
      </c>
      <c r="O156" t="str">
        <f t="shared" si="4"/>
        <v>NO</v>
      </c>
      <c r="P156" t="str">
        <f t="shared" si="5"/>
        <v>YES</v>
      </c>
    </row>
    <row r="157" spans="1:16" x14ac:dyDescent="0.3">
      <c r="A157">
        <v>156</v>
      </c>
      <c r="B157">
        <v>99</v>
      </c>
      <c r="C157">
        <v>159</v>
      </c>
      <c r="D157">
        <v>100</v>
      </c>
      <c r="E157">
        <v>9</v>
      </c>
      <c r="F157">
        <v>0</v>
      </c>
      <c r="G157">
        <v>99</v>
      </c>
      <c r="H157">
        <v>3</v>
      </c>
      <c r="I157" t="s">
        <v>0</v>
      </c>
      <c r="J157">
        <v>1</v>
      </c>
      <c r="K157" t="s">
        <v>60</v>
      </c>
      <c r="L157" t="s">
        <v>11</v>
      </c>
      <c r="M157" s="1">
        <v>41602</v>
      </c>
      <c r="N157" t="s">
        <v>103</v>
      </c>
      <c r="O157" t="str">
        <f t="shared" si="4"/>
        <v>NO</v>
      </c>
      <c r="P157" t="str">
        <f t="shared" si="5"/>
        <v>YES</v>
      </c>
    </row>
    <row r="158" spans="1:16" x14ac:dyDescent="0.3">
      <c r="A158">
        <v>157</v>
      </c>
      <c r="B158">
        <v>19</v>
      </c>
      <c r="C158">
        <v>19</v>
      </c>
      <c r="D158">
        <v>18</v>
      </c>
      <c r="E158">
        <v>3</v>
      </c>
      <c r="F158">
        <v>0</v>
      </c>
      <c r="G158">
        <v>105.55</v>
      </c>
      <c r="H158">
        <v>3</v>
      </c>
      <c r="I158" t="s">
        <v>0</v>
      </c>
      <c r="J158">
        <v>2</v>
      </c>
      <c r="K158" t="s">
        <v>60</v>
      </c>
      <c r="L158" t="s">
        <v>45</v>
      </c>
      <c r="M158" s="1">
        <v>41605</v>
      </c>
      <c r="N158" t="s">
        <v>103</v>
      </c>
      <c r="O158" t="str">
        <f t="shared" si="4"/>
        <v>NO</v>
      </c>
      <c r="P158" t="str">
        <f t="shared" si="5"/>
        <v>NO</v>
      </c>
    </row>
    <row r="159" spans="1:16" x14ac:dyDescent="0.3">
      <c r="A159">
        <v>158</v>
      </c>
      <c r="B159">
        <v>31</v>
      </c>
      <c r="C159">
        <v>41</v>
      </c>
      <c r="D159">
        <v>35</v>
      </c>
      <c r="E159">
        <v>5</v>
      </c>
      <c r="F159">
        <v>0</v>
      </c>
      <c r="G159">
        <v>88.57</v>
      </c>
      <c r="H159">
        <v>3</v>
      </c>
      <c r="I159" t="s">
        <v>0</v>
      </c>
      <c r="J159">
        <v>2</v>
      </c>
      <c r="K159" t="s">
        <v>68</v>
      </c>
      <c r="L159" t="s">
        <v>69</v>
      </c>
      <c r="M159" s="1">
        <v>41613</v>
      </c>
      <c r="N159" t="s">
        <v>103</v>
      </c>
      <c r="O159" t="str">
        <f t="shared" si="4"/>
        <v>NO</v>
      </c>
      <c r="P159" t="str">
        <f t="shared" si="5"/>
        <v>NO</v>
      </c>
    </row>
    <row r="160" spans="1:16" x14ac:dyDescent="0.3">
      <c r="A160">
        <v>159</v>
      </c>
      <c r="B160">
        <v>0</v>
      </c>
      <c r="C160">
        <v>7</v>
      </c>
      <c r="D160">
        <v>5</v>
      </c>
      <c r="E160">
        <v>0</v>
      </c>
      <c r="F160">
        <v>0</v>
      </c>
      <c r="G160">
        <v>0</v>
      </c>
      <c r="H160">
        <v>3</v>
      </c>
      <c r="I160" t="s">
        <v>0</v>
      </c>
      <c r="J160">
        <v>2</v>
      </c>
      <c r="K160" t="s">
        <v>68</v>
      </c>
      <c r="L160" t="s">
        <v>70</v>
      </c>
      <c r="M160" s="1">
        <v>41616</v>
      </c>
      <c r="N160" t="s">
        <v>103</v>
      </c>
      <c r="O160" t="str">
        <f t="shared" si="4"/>
        <v>NO</v>
      </c>
      <c r="P160" t="str">
        <f t="shared" si="5"/>
        <v>NO</v>
      </c>
    </row>
    <row r="161" spans="1:16" x14ac:dyDescent="0.3">
      <c r="A161">
        <v>160</v>
      </c>
      <c r="B161">
        <v>119</v>
      </c>
      <c r="C161">
        <v>257</v>
      </c>
      <c r="D161">
        <v>181</v>
      </c>
      <c r="E161">
        <v>18</v>
      </c>
      <c r="F161">
        <v>0</v>
      </c>
      <c r="G161">
        <v>65.739999999999995</v>
      </c>
      <c r="H161">
        <v>4</v>
      </c>
      <c r="I161" t="s">
        <v>0</v>
      </c>
      <c r="J161">
        <v>1</v>
      </c>
      <c r="K161" t="s">
        <v>68</v>
      </c>
      <c r="L161" t="s">
        <v>69</v>
      </c>
      <c r="M161" s="1">
        <v>41626</v>
      </c>
      <c r="N161" t="s">
        <v>102</v>
      </c>
      <c r="O161" t="str">
        <f t="shared" si="4"/>
        <v>YES</v>
      </c>
      <c r="P161" t="str">
        <f t="shared" si="5"/>
        <v>NO</v>
      </c>
    </row>
    <row r="162" spans="1:16" x14ac:dyDescent="0.3">
      <c r="A162">
        <v>161</v>
      </c>
      <c r="B162">
        <v>96</v>
      </c>
      <c r="C162">
        <v>254</v>
      </c>
      <c r="D162">
        <v>193</v>
      </c>
      <c r="E162">
        <v>9</v>
      </c>
      <c r="F162">
        <v>0</v>
      </c>
      <c r="G162">
        <v>49.74</v>
      </c>
      <c r="H162">
        <v>4</v>
      </c>
      <c r="I162" t="s">
        <v>0</v>
      </c>
      <c r="J162">
        <v>3</v>
      </c>
      <c r="K162" t="s">
        <v>68</v>
      </c>
      <c r="L162" t="s">
        <v>69</v>
      </c>
      <c r="M162" s="1">
        <v>41626</v>
      </c>
      <c r="N162" t="s">
        <v>102</v>
      </c>
      <c r="O162" t="str">
        <f t="shared" si="4"/>
        <v>NO</v>
      </c>
      <c r="P162" t="str">
        <f t="shared" si="5"/>
        <v>YES</v>
      </c>
    </row>
    <row r="163" spans="1:16" x14ac:dyDescent="0.3">
      <c r="A163">
        <v>162</v>
      </c>
      <c r="B163">
        <v>46</v>
      </c>
      <c r="C163">
        <v>114</v>
      </c>
      <c r="D163">
        <v>87</v>
      </c>
      <c r="E163">
        <v>5</v>
      </c>
      <c r="F163">
        <v>0</v>
      </c>
      <c r="G163">
        <v>52.87</v>
      </c>
      <c r="H163">
        <v>4</v>
      </c>
      <c r="I163" t="s">
        <v>0</v>
      </c>
      <c r="J163">
        <v>1</v>
      </c>
      <c r="K163" t="s">
        <v>68</v>
      </c>
      <c r="L163" t="s">
        <v>70</v>
      </c>
      <c r="M163" s="1">
        <v>41634</v>
      </c>
      <c r="N163" t="s">
        <v>102</v>
      </c>
      <c r="O163" t="str">
        <f t="shared" si="4"/>
        <v>NO</v>
      </c>
      <c r="P163" t="str">
        <f t="shared" si="5"/>
        <v>NO</v>
      </c>
    </row>
    <row r="164" spans="1:16" x14ac:dyDescent="0.3">
      <c r="A164">
        <v>163</v>
      </c>
      <c r="B164">
        <v>11</v>
      </c>
      <c r="C164">
        <v>26</v>
      </c>
      <c r="D164">
        <v>27</v>
      </c>
      <c r="E164">
        <v>1</v>
      </c>
      <c r="F164">
        <v>0</v>
      </c>
      <c r="G164">
        <v>40.74</v>
      </c>
      <c r="H164">
        <v>4</v>
      </c>
      <c r="I164" t="s">
        <v>0</v>
      </c>
      <c r="J164">
        <v>3</v>
      </c>
      <c r="K164" t="s">
        <v>68</v>
      </c>
      <c r="L164" t="s">
        <v>70</v>
      </c>
      <c r="M164" s="1">
        <v>41634</v>
      </c>
      <c r="N164" t="s">
        <v>102</v>
      </c>
      <c r="O164" t="str">
        <f t="shared" si="4"/>
        <v>NO</v>
      </c>
      <c r="P164" t="str">
        <f t="shared" si="5"/>
        <v>NO</v>
      </c>
    </row>
    <row r="165" spans="1:16" x14ac:dyDescent="0.3">
      <c r="A165">
        <v>164</v>
      </c>
      <c r="B165">
        <v>123</v>
      </c>
      <c r="C165">
        <v>179</v>
      </c>
      <c r="D165">
        <v>111</v>
      </c>
      <c r="E165">
        <v>11</v>
      </c>
      <c r="F165">
        <v>2</v>
      </c>
      <c r="G165">
        <v>110.81</v>
      </c>
      <c r="H165">
        <v>3</v>
      </c>
      <c r="I165" t="s">
        <v>0</v>
      </c>
      <c r="J165">
        <v>2</v>
      </c>
      <c r="K165" t="s">
        <v>65</v>
      </c>
      <c r="L165" t="s">
        <v>97</v>
      </c>
      <c r="M165" s="1">
        <v>41658</v>
      </c>
      <c r="N165" t="s">
        <v>103</v>
      </c>
      <c r="O165" t="str">
        <f t="shared" si="4"/>
        <v>YES</v>
      </c>
      <c r="P165" t="str">
        <f t="shared" si="5"/>
        <v>NO</v>
      </c>
    </row>
    <row r="166" spans="1:16" x14ac:dyDescent="0.3">
      <c r="A166">
        <v>165</v>
      </c>
      <c r="B166">
        <v>2</v>
      </c>
      <c r="C166">
        <v>14</v>
      </c>
      <c r="D166">
        <v>10</v>
      </c>
      <c r="E166">
        <v>0</v>
      </c>
      <c r="F166">
        <v>0</v>
      </c>
      <c r="G166">
        <v>20</v>
      </c>
      <c r="H166">
        <v>2</v>
      </c>
      <c r="I166" t="s">
        <v>0</v>
      </c>
      <c r="J166">
        <v>1</v>
      </c>
      <c r="K166" t="s">
        <v>65</v>
      </c>
      <c r="L166" t="s">
        <v>41</v>
      </c>
      <c r="M166" s="1">
        <v>41667</v>
      </c>
      <c r="N166" t="s">
        <v>103</v>
      </c>
      <c r="O166" t="str">
        <f t="shared" si="4"/>
        <v>NO</v>
      </c>
      <c r="P166" t="str">
        <f t="shared" si="5"/>
        <v>NO</v>
      </c>
    </row>
    <row r="167" spans="1:16" x14ac:dyDescent="0.3">
      <c r="A167">
        <v>166</v>
      </c>
      <c r="B167">
        <v>82</v>
      </c>
      <c r="C167">
        <v>129</v>
      </c>
      <c r="D167">
        <v>78</v>
      </c>
      <c r="E167">
        <v>7</v>
      </c>
      <c r="F167">
        <v>3</v>
      </c>
      <c r="G167">
        <v>105.12</v>
      </c>
      <c r="H167">
        <v>3</v>
      </c>
      <c r="I167" t="s">
        <v>0</v>
      </c>
      <c r="J167">
        <v>2</v>
      </c>
      <c r="K167" t="s">
        <v>65</v>
      </c>
      <c r="L167" t="s">
        <v>71</v>
      </c>
      <c r="M167" s="1">
        <v>41670</v>
      </c>
      <c r="N167" t="s">
        <v>103</v>
      </c>
      <c r="O167" t="str">
        <f t="shared" si="4"/>
        <v>NO</v>
      </c>
      <c r="P167" t="str">
        <f t="shared" si="5"/>
        <v>YES</v>
      </c>
    </row>
    <row r="168" spans="1:16" x14ac:dyDescent="0.3">
      <c r="A168">
        <v>167</v>
      </c>
      <c r="B168">
        <v>4</v>
      </c>
      <c r="C168">
        <v>17</v>
      </c>
      <c r="D168">
        <v>13</v>
      </c>
      <c r="E168">
        <v>1</v>
      </c>
      <c r="F168">
        <v>0</v>
      </c>
      <c r="G168">
        <v>30.76</v>
      </c>
      <c r="H168">
        <v>4</v>
      </c>
      <c r="I168" t="s">
        <v>0</v>
      </c>
      <c r="J168">
        <v>2</v>
      </c>
      <c r="K168" t="s">
        <v>65</v>
      </c>
      <c r="L168" t="s">
        <v>42</v>
      </c>
      <c r="M168" s="1">
        <v>41676</v>
      </c>
      <c r="N168" t="s">
        <v>102</v>
      </c>
      <c r="O168" t="str">
        <f t="shared" si="4"/>
        <v>NO</v>
      </c>
      <c r="P168" t="str">
        <f t="shared" si="5"/>
        <v>NO</v>
      </c>
    </row>
    <row r="169" spans="1:16" x14ac:dyDescent="0.3">
      <c r="A169">
        <v>168</v>
      </c>
      <c r="B169">
        <v>67</v>
      </c>
      <c r="C169">
        <v>131</v>
      </c>
      <c r="D169">
        <v>102</v>
      </c>
      <c r="E169">
        <v>12</v>
      </c>
      <c r="F169">
        <v>0</v>
      </c>
      <c r="G169">
        <v>65.680000000000007</v>
      </c>
      <c r="H169">
        <v>4</v>
      </c>
      <c r="I169" t="s">
        <v>0</v>
      </c>
      <c r="J169">
        <v>4</v>
      </c>
      <c r="K169" t="s">
        <v>65</v>
      </c>
      <c r="L169" t="s">
        <v>42</v>
      </c>
      <c r="M169" s="1">
        <v>41676</v>
      </c>
      <c r="N169" t="s">
        <v>102</v>
      </c>
      <c r="O169" t="str">
        <f t="shared" si="4"/>
        <v>NO</v>
      </c>
      <c r="P169" t="str">
        <f t="shared" si="5"/>
        <v>YES</v>
      </c>
    </row>
    <row r="170" spans="1:16" x14ac:dyDescent="0.3">
      <c r="A170">
        <v>169</v>
      </c>
      <c r="B170">
        <v>38</v>
      </c>
      <c r="C170">
        <v>131</v>
      </c>
      <c r="D170">
        <v>93</v>
      </c>
      <c r="E170">
        <v>4</v>
      </c>
      <c r="F170">
        <v>0</v>
      </c>
      <c r="G170">
        <v>40.86</v>
      </c>
      <c r="H170">
        <v>5</v>
      </c>
      <c r="I170" t="s">
        <v>0</v>
      </c>
      <c r="J170">
        <v>2</v>
      </c>
      <c r="K170" t="s">
        <v>65</v>
      </c>
      <c r="L170" t="s">
        <v>71</v>
      </c>
      <c r="M170" s="1">
        <v>41684</v>
      </c>
      <c r="N170" t="s">
        <v>102</v>
      </c>
      <c r="O170" t="str">
        <f t="shared" si="4"/>
        <v>NO</v>
      </c>
      <c r="P170" t="str">
        <f t="shared" si="5"/>
        <v>NO</v>
      </c>
    </row>
    <row r="171" spans="1:16" x14ac:dyDescent="0.3">
      <c r="A171">
        <v>170</v>
      </c>
      <c r="B171">
        <v>105</v>
      </c>
      <c r="C171">
        <v>195</v>
      </c>
      <c r="D171">
        <v>135</v>
      </c>
      <c r="E171">
        <v>15</v>
      </c>
      <c r="F171">
        <v>1</v>
      </c>
      <c r="G171">
        <v>77.77</v>
      </c>
      <c r="H171">
        <v>4</v>
      </c>
      <c r="I171" t="s">
        <v>66</v>
      </c>
      <c r="J171">
        <v>4</v>
      </c>
      <c r="K171" t="s">
        <v>65</v>
      </c>
      <c r="L171" t="s">
        <v>71</v>
      </c>
      <c r="M171" s="1">
        <v>41684</v>
      </c>
      <c r="N171" t="s">
        <v>102</v>
      </c>
      <c r="O171" t="str">
        <f t="shared" si="4"/>
        <v>YES</v>
      </c>
      <c r="P171" t="str">
        <f t="shared" si="5"/>
        <v>NO</v>
      </c>
    </row>
    <row r="172" spans="1:16" x14ac:dyDescent="0.3">
      <c r="A172">
        <v>171</v>
      </c>
      <c r="B172">
        <v>136</v>
      </c>
      <c r="C172">
        <v>157</v>
      </c>
      <c r="D172">
        <v>122</v>
      </c>
      <c r="E172">
        <v>16</v>
      </c>
      <c r="F172">
        <v>2</v>
      </c>
      <c r="G172">
        <v>111.47</v>
      </c>
      <c r="H172">
        <v>3</v>
      </c>
      <c r="I172" t="s">
        <v>7</v>
      </c>
      <c r="J172">
        <v>2</v>
      </c>
      <c r="K172" t="s">
        <v>73</v>
      </c>
      <c r="L172" t="s">
        <v>38</v>
      </c>
      <c r="M172" s="1">
        <v>41696</v>
      </c>
      <c r="N172" t="s">
        <v>103</v>
      </c>
      <c r="O172" t="str">
        <f t="shared" si="4"/>
        <v>YES</v>
      </c>
      <c r="P172" t="str">
        <f t="shared" si="5"/>
        <v>NO</v>
      </c>
    </row>
    <row r="173" spans="1:16" x14ac:dyDescent="0.3">
      <c r="A173">
        <v>172</v>
      </c>
      <c r="B173">
        <v>5</v>
      </c>
      <c r="C173">
        <v>29</v>
      </c>
      <c r="D173">
        <v>11</v>
      </c>
      <c r="E173">
        <v>0</v>
      </c>
      <c r="F173">
        <v>0</v>
      </c>
      <c r="G173">
        <v>45.45</v>
      </c>
      <c r="H173">
        <v>3</v>
      </c>
      <c r="I173" t="s">
        <v>0</v>
      </c>
      <c r="J173">
        <v>1</v>
      </c>
      <c r="K173" t="s">
        <v>84</v>
      </c>
      <c r="L173" t="s">
        <v>6</v>
      </c>
      <c r="M173" s="1">
        <v>41700</v>
      </c>
      <c r="N173" t="s">
        <v>103</v>
      </c>
      <c r="O173" t="str">
        <f t="shared" si="4"/>
        <v>NO</v>
      </c>
      <c r="P173" t="str">
        <f t="shared" si="5"/>
        <v>NO</v>
      </c>
    </row>
    <row r="174" spans="1:16" x14ac:dyDescent="0.3">
      <c r="A174">
        <v>173</v>
      </c>
      <c r="B174">
        <v>36</v>
      </c>
      <c r="C174">
        <v>45</v>
      </c>
      <c r="D174">
        <v>32</v>
      </c>
      <c r="E174">
        <v>4</v>
      </c>
      <c r="F174">
        <v>1</v>
      </c>
      <c r="G174">
        <v>112.5</v>
      </c>
      <c r="H174">
        <v>3</v>
      </c>
      <c r="I174" t="s">
        <v>66</v>
      </c>
      <c r="J174">
        <v>2</v>
      </c>
      <c r="K174" t="s">
        <v>84</v>
      </c>
      <c r="L174" t="s">
        <v>6</v>
      </c>
      <c r="M174" s="1">
        <v>41719</v>
      </c>
      <c r="N174" t="s">
        <v>104</v>
      </c>
      <c r="O174" t="str">
        <f t="shared" si="4"/>
        <v>NO</v>
      </c>
      <c r="P174" t="str">
        <f t="shared" si="5"/>
        <v>NO</v>
      </c>
    </row>
    <row r="175" spans="1:16" x14ac:dyDescent="0.3">
      <c r="A175">
        <v>174</v>
      </c>
      <c r="B175">
        <v>54</v>
      </c>
      <c r="C175">
        <v>51</v>
      </c>
      <c r="D175">
        <v>41</v>
      </c>
      <c r="E175">
        <v>5</v>
      </c>
      <c r="F175">
        <v>1</v>
      </c>
      <c r="G175">
        <v>131.69999999999999</v>
      </c>
      <c r="H175">
        <v>3</v>
      </c>
      <c r="I175" t="s">
        <v>7</v>
      </c>
      <c r="J175">
        <v>2</v>
      </c>
      <c r="K175" t="s">
        <v>60</v>
      </c>
      <c r="L175" t="s">
        <v>6</v>
      </c>
      <c r="M175" s="1">
        <v>41721</v>
      </c>
      <c r="N175" t="s">
        <v>104</v>
      </c>
      <c r="O175" t="str">
        <f t="shared" si="4"/>
        <v>NO</v>
      </c>
      <c r="P175" t="str">
        <f t="shared" si="5"/>
        <v>YES</v>
      </c>
    </row>
    <row r="176" spans="1:16" x14ac:dyDescent="0.3">
      <c r="A176">
        <v>175</v>
      </c>
      <c r="B176">
        <v>57</v>
      </c>
      <c r="C176">
        <v>66</v>
      </c>
      <c r="D176">
        <v>50</v>
      </c>
      <c r="E176">
        <v>3</v>
      </c>
      <c r="F176">
        <v>1</v>
      </c>
      <c r="G176">
        <v>114</v>
      </c>
      <c r="H176">
        <v>3</v>
      </c>
      <c r="I176" t="s">
        <v>66</v>
      </c>
      <c r="J176">
        <v>2</v>
      </c>
      <c r="K176" t="s">
        <v>73</v>
      </c>
      <c r="L176" t="s">
        <v>6</v>
      </c>
      <c r="M176" s="1">
        <v>41726</v>
      </c>
      <c r="N176" t="s">
        <v>104</v>
      </c>
      <c r="O176" t="str">
        <f t="shared" si="4"/>
        <v>NO</v>
      </c>
      <c r="P176" t="str">
        <f t="shared" si="5"/>
        <v>YES</v>
      </c>
    </row>
    <row r="177" spans="1:16" x14ac:dyDescent="0.3">
      <c r="A177">
        <v>176</v>
      </c>
      <c r="B177">
        <v>23</v>
      </c>
      <c r="C177">
        <v>23</v>
      </c>
      <c r="D177">
        <v>22</v>
      </c>
      <c r="E177">
        <v>2</v>
      </c>
      <c r="F177">
        <v>1</v>
      </c>
      <c r="G177">
        <v>104.54</v>
      </c>
      <c r="H177">
        <v>3</v>
      </c>
      <c r="I177" t="s">
        <v>0</v>
      </c>
      <c r="J177">
        <v>1</v>
      </c>
      <c r="K177" t="s">
        <v>63</v>
      </c>
      <c r="L177" t="s">
        <v>6</v>
      </c>
      <c r="M177" s="1">
        <v>41728</v>
      </c>
      <c r="N177" t="s">
        <v>104</v>
      </c>
      <c r="O177" t="str">
        <f t="shared" si="4"/>
        <v>NO</v>
      </c>
      <c r="P177" t="str">
        <f t="shared" si="5"/>
        <v>NO</v>
      </c>
    </row>
    <row r="178" spans="1:16" x14ac:dyDescent="0.3">
      <c r="A178">
        <v>177</v>
      </c>
      <c r="B178">
        <v>72</v>
      </c>
      <c r="C178">
        <v>67</v>
      </c>
      <c r="D178">
        <v>44</v>
      </c>
      <c r="E178">
        <v>5</v>
      </c>
      <c r="F178">
        <v>2</v>
      </c>
      <c r="G178">
        <v>163.63</v>
      </c>
      <c r="H178">
        <v>3</v>
      </c>
      <c r="I178" t="s">
        <v>66</v>
      </c>
      <c r="J178">
        <v>2</v>
      </c>
      <c r="K178" t="s">
        <v>68</v>
      </c>
      <c r="L178" t="s">
        <v>6</v>
      </c>
      <c r="M178" s="1">
        <v>41733</v>
      </c>
      <c r="N178" t="s">
        <v>104</v>
      </c>
      <c r="O178" t="str">
        <f t="shared" si="4"/>
        <v>NO</v>
      </c>
      <c r="P178" t="str">
        <f t="shared" si="5"/>
        <v>YES</v>
      </c>
    </row>
    <row r="179" spans="1:16" x14ac:dyDescent="0.3">
      <c r="A179">
        <v>178</v>
      </c>
      <c r="B179">
        <v>77</v>
      </c>
      <c r="C179">
        <v>75</v>
      </c>
      <c r="D179">
        <v>58</v>
      </c>
      <c r="E179">
        <v>5</v>
      </c>
      <c r="F179">
        <v>4</v>
      </c>
      <c r="G179">
        <v>132.75</v>
      </c>
      <c r="H179">
        <v>3</v>
      </c>
      <c r="I179" t="s">
        <v>64</v>
      </c>
      <c r="J179">
        <v>1</v>
      </c>
      <c r="K179" t="s">
        <v>74</v>
      </c>
      <c r="L179" t="s">
        <v>6</v>
      </c>
      <c r="M179" s="1">
        <v>41735</v>
      </c>
      <c r="N179" t="s">
        <v>104</v>
      </c>
      <c r="O179" t="str">
        <f t="shared" si="4"/>
        <v>NO</v>
      </c>
      <c r="P179" t="str">
        <f t="shared" si="5"/>
        <v>YES</v>
      </c>
    </row>
    <row r="180" spans="1:16" x14ac:dyDescent="0.3">
      <c r="A180">
        <v>179</v>
      </c>
      <c r="B180">
        <v>1</v>
      </c>
      <c r="C180">
        <v>6</v>
      </c>
      <c r="D180">
        <v>8</v>
      </c>
      <c r="E180">
        <v>0</v>
      </c>
      <c r="F180">
        <v>0</v>
      </c>
      <c r="G180">
        <v>12.5</v>
      </c>
      <c r="H180">
        <v>4</v>
      </c>
      <c r="I180" t="s">
        <v>0</v>
      </c>
      <c r="J180">
        <v>1</v>
      </c>
      <c r="K180" t="s">
        <v>67</v>
      </c>
      <c r="L180" t="s">
        <v>39</v>
      </c>
      <c r="M180" s="1">
        <v>41829</v>
      </c>
      <c r="N180" t="s">
        <v>102</v>
      </c>
      <c r="O180" t="str">
        <f t="shared" si="4"/>
        <v>NO</v>
      </c>
      <c r="P180" t="str">
        <f t="shared" si="5"/>
        <v>NO</v>
      </c>
    </row>
    <row r="181" spans="1:16" x14ac:dyDescent="0.3">
      <c r="A181">
        <v>180</v>
      </c>
      <c r="B181">
        <v>8</v>
      </c>
      <c r="C181">
        <v>39</v>
      </c>
      <c r="D181">
        <v>29</v>
      </c>
      <c r="E181">
        <v>1</v>
      </c>
      <c r="F181">
        <v>0</v>
      </c>
      <c r="G181">
        <v>27.58</v>
      </c>
      <c r="H181">
        <v>4</v>
      </c>
      <c r="I181" t="s">
        <v>4</v>
      </c>
      <c r="J181">
        <v>3</v>
      </c>
      <c r="K181" t="s">
        <v>67</v>
      </c>
      <c r="L181" t="s">
        <v>39</v>
      </c>
      <c r="M181" s="1">
        <v>41829</v>
      </c>
      <c r="N181" t="s">
        <v>102</v>
      </c>
      <c r="O181" t="str">
        <f t="shared" si="4"/>
        <v>NO</v>
      </c>
      <c r="P181" t="str">
        <f t="shared" si="5"/>
        <v>NO</v>
      </c>
    </row>
    <row r="182" spans="1:16" x14ac:dyDescent="0.3">
      <c r="A182">
        <v>181</v>
      </c>
      <c r="B182">
        <v>25</v>
      </c>
      <c r="C182">
        <v>39</v>
      </c>
      <c r="D182">
        <v>34</v>
      </c>
      <c r="E182">
        <v>4</v>
      </c>
      <c r="F182">
        <v>0</v>
      </c>
      <c r="G182">
        <v>73.52</v>
      </c>
      <c r="H182">
        <v>4</v>
      </c>
      <c r="I182" t="s">
        <v>0</v>
      </c>
      <c r="J182">
        <v>1</v>
      </c>
      <c r="K182" t="s">
        <v>67</v>
      </c>
      <c r="L182" t="s">
        <v>72</v>
      </c>
      <c r="M182" s="1">
        <v>41837</v>
      </c>
      <c r="N182" t="s">
        <v>102</v>
      </c>
      <c r="O182" t="str">
        <f t="shared" si="4"/>
        <v>NO</v>
      </c>
      <c r="P182" t="str">
        <f t="shared" si="5"/>
        <v>NO</v>
      </c>
    </row>
    <row r="183" spans="1:16" x14ac:dyDescent="0.3">
      <c r="A183">
        <v>182</v>
      </c>
      <c r="B183">
        <v>0</v>
      </c>
      <c r="C183">
        <v>1</v>
      </c>
      <c r="D183">
        <v>1</v>
      </c>
      <c r="E183">
        <v>0</v>
      </c>
      <c r="F183">
        <v>0</v>
      </c>
      <c r="G183">
        <v>0</v>
      </c>
      <c r="H183">
        <v>4</v>
      </c>
      <c r="I183" t="s">
        <v>7</v>
      </c>
      <c r="J183">
        <v>3</v>
      </c>
      <c r="K183" t="s">
        <v>67</v>
      </c>
      <c r="L183" t="s">
        <v>72</v>
      </c>
      <c r="M183" s="1">
        <v>41837</v>
      </c>
      <c r="N183" t="s">
        <v>102</v>
      </c>
      <c r="O183" t="str">
        <f t="shared" si="4"/>
        <v>NO</v>
      </c>
      <c r="P183" t="str">
        <f t="shared" si="5"/>
        <v>NO</v>
      </c>
    </row>
    <row r="184" spans="1:16" x14ac:dyDescent="0.3">
      <c r="A184">
        <v>183</v>
      </c>
      <c r="B184">
        <v>39</v>
      </c>
      <c r="C184">
        <v>119</v>
      </c>
      <c r="D184">
        <v>75</v>
      </c>
      <c r="E184">
        <v>3</v>
      </c>
      <c r="F184">
        <v>0</v>
      </c>
      <c r="G184">
        <v>52</v>
      </c>
      <c r="H184">
        <v>4</v>
      </c>
      <c r="I184" t="s">
        <v>0</v>
      </c>
      <c r="J184">
        <v>2</v>
      </c>
      <c r="K184" t="s">
        <v>67</v>
      </c>
      <c r="L184" t="s">
        <v>16</v>
      </c>
      <c r="M184" s="1">
        <v>41847</v>
      </c>
      <c r="N184" t="s">
        <v>102</v>
      </c>
      <c r="O184" t="str">
        <f t="shared" si="4"/>
        <v>NO</v>
      </c>
      <c r="P184" t="str">
        <f t="shared" si="5"/>
        <v>NO</v>
      </c>
    </row>
    <row r="185" spans="1:16" x14ac:dyDescent="0.3">
      <c r="A185">
        <v>184</v>
      </c>
      <c r="B185">
        <v>28</v>
      </c>
      <c r="C185">
        <v>77</v>
      </c>
      <c r="D185">
        <v>56</v>
      </c>
      <c r="E185">
        <v>3</v>
      </c>
      <c r="F185">
        <v>0</v>
      </c>
      <c r="G185">
        <v>50</v>
      </c>
      <c r="H185">
        <v>4</v>
      </c>
      <c r="I185" t="s">
        <v>0</v>
      </c>
      <c r="J185">
        <v>4</v>
      </c>
      <c r="K185" t="s">
        <v>67</v>
      </c>
      <c r="L185" t="s">
        <v>16</v>
      </c>
      <c r="M185" s="1">
        <v>41847</v>
      </c>
      <c r="N185" t="s">
        <v>102</v>
      </c>
      <c r="O185" t="str">
        <f t="shared" si="4"/>
        <v>NO</v>
      </c>
      <c r="P185" t="str">
        <f t="shared" si="5"/>
        <v>NO</v>
      </c>
    </row>
    <row r="186" spans="1:16" x14ac:dyDescent="0.3">
      <c r="A186">
        <v>185</v>
      </c>
      <c r="B186">
        <v>0</v>
      </c>
      <c r="C186">
        <v>3</v>
      </c>
      <c r="D186">
        <v>2</v>
      </c>
      <c r="E186">
        <v>0</v>
      </c>
      <c r="F186">
        <v>0</v>
      </c>
      <c r="G186">
        <v>0</v>
      </c>
      <c r="H186">
        <v>4</v>
      </c>
      <c r="I186" t="s">
        <v>0</v>
      </c>
      <c r="J186">
        <v>1</v>
      </c>
      <c r="K186" t="s">
        <v>67</v>
      </c>
      <c r="L186" t="s">
        <v>15</v>
      </c>
      <c r="M186" s="1">
        <v>41858</v>
      </c>
      <c r="N186" t="s">
        <v>102</v>
      </c>
      <c r="O186" t="str">
        <f t="shared" si="4"/>
        <v>NO</v>
      </c>
      <c r="P186" t="str">
        <f t="shared" si="5"/>
        <v>NO</v>
      </c>
    </row>
    <row r="187" spans="1:16" x14ac:dyDescent="0.3">
      <c r="A187">
        <v>186</v>
      </c>
      <c r="B187">
        <v>7</v>
      </c>
      <c r="C187">
        <v>15</v>
      </c>
      <c r="D187">
        <v>11</v>
      </c>
      <c r="E187">
        <v>1</v>
      </c>
      <c r="F187">
        <v>0</v>
      </c>
      <c r="G187">
        <v>63.63</v>
      </c>
      <c r="H187">
        <v>4</v>
      </c>
      <c r="I187" t="s">
        <v>0</v>
      </c>
      <c r="J187">
        <v>3</v>
      </c>
      <c r="K187" t="s">
        <v>67</v>
      </c>
      <c r="L187" t="s">
        <v>15</v>
      </c>
      <c r="M187" s="1">
        <v>41858</v>
      </c>
      <c r="N187" t="s">
        <v>102</v>
      </c>
      <c r="O187" t="str">
        <f t="shared" si="4"/>
        <v>NO</v>
      </c>
      <c r="P187" t="str">
        <f t="shared" si="5"/>
        <v>NO</v>
      </c>
    </row>
    <row r="188" spans="1:16" x14ac:dyDescent="0.3">
      <c r="A188">
        <v>187</v>
      </c>
      <c r="B188">
        <v>6</v>
      </c>
      <c r="C188">
        <v>34</v>
      </c>
      <c r="D188">
        <v>18</v>
      </c>
      <c r="E188">
        <v>1</v>
      </c>
      <c r="F188">
        <v>0</v>
      </c>
      <c r="G188">
        <v>33.33</v>
      </c>
      <c r="H188">
        <v>4</v>
      </c>
      <c r="I188" t="s">
        <v>4</v>
      </c>
      <c r="J188">
        <v>1</v>
      </c>
      <c r="K188" t="s">
        <v>67</v>
      </c>
      <c r="L188" t="s">
        <v>17</v>
      </c>
      <c r="M188" s="1">
        <v>41866</v>
      </c>
      <c r="N188" t="s">
        <v>102</v>
      </c>
      <c r="O188" t="str">
        <f t="shared" si="4"/>
        <v>NO</v>
      </c>
      <c r="P188" t="str">
        <f t="shared" si="5"/>
        <v>NO</v>
      </c>
    </row>
    <row r="189" spans="1:16" x14ac:dyDescent="0.3">
      <c r="A189">
        <v>188</v>
      </c>
      <c r="B189">
        <v>20</v>
      </c>
      <c r="C189">
        <v>80</v>
      </c>
      <c r="D189">
        <v>54</v>
      </c>
      <c r="E189">
        <v>2</v>
      </c>
      <c r="F189">
        <v>0</v>
      </c>
      <c r="G189">
        <v>37.03</v>
      </c>
      <c r="H189">
        <v>4</v>
      </c>
      <c r="I189" t="s">
        <v>0</v>
      </c>
      <c r="J189">
        <v>3</v>
      </c>
      <c r="K189" t="s">
        <v>67</v>
      </c>
      <c r="L189" t="s">
        <v>17</v>
      </c>
      <c r="M189" s="1">
        <v>41866</v>
      </c>
      <c r="N189" t="s">
        <v>102</v>
      </c>
      <c r="O189" t="str">
        <f t="shared" si="4"/>
        <v>NO</v>
      </c>
      <c r="P189" t="str">
        <f t="shared" si="5"/>
        <v>NO</v>
      </c>
    </row>
    <row r="190" spans="1:16" x14ac:dyDescent="0.3">
      <c r="A190">
        <v>189</v>
      </c>
      <c r="B190">
        <v>0</v>
      </c>
      <c r="C190">
        <v>1</v>
      </c>
      <c r="D190">
        <v>3</v>
      </c>
      <c r="E190">
        <v>0</v>
      </c>
      <c r="F190">
        <v>0</v>
      </c>
      <c r="G190">
        <v>0</v>
      </c>
      <c r="H190">
        <v>3</v>
      </c>
      <c r="I190" t="s">
        <v>0</v>
      </c>
      <c r="J190">
        <v>1</v>
      </c>
      <c r="K190" t="s">
        <v>67</v>
      </c>
      <c r="L190" t="s">
        <v>18</v>
      </c>
      <c r="M190" s="1">
        <v>41878</v>
      </c>
      <c r="N190" t="s">
        <v>103</v>
      </c>
      <c r="O190" t="str">
        <f t="shared" si="4"/>
        <v>NO</v>
      </c>
      <c r="P190" t="str">
        <f t="shared" si="5"/>
        <v>NO</v>
      </c>
    </row>
    <row r="191" spans="1:16" x14ac:dyDescent="0.3">
      <c r="A191">
        <v>190</v>
      </c>
      <c r="B191">
        <v>40</v>
      </c>
      <c r="C191">
        <v>67</v>
      </c>
      <c r="D191">
        <v>50</v>
      </c>
      <c r="E191">
        <v>2</v>
      </c>
      <c r="F191">
        <v>1</v>
      </c>
      <c r="G191">
        <v>80</v>
      </c>
      <c r="H191">
        <v>3</v>
      </c>
      <c r="I191" t="s">
        <v>0</v>
      </c>
      <c r="J191">
        <v>2</v>
      </c>
      <c r="K191" t="s">
        <v>67</v>
      </c>
      <c r="L191" t="s">
        <v>39</v>
      </c>
      <c r="M191" s="1">
        <v>41881</v>
      </c>
      <c r="N191" t="s">
        <v>103</v>
      </c>
      <c r="O191" t="str">
        <f t="shared" si="4"/>
        <v>NO</v>
      </c>
      <c r="P191" t="str">
        <f t="shared" si="5"/>
        <v>NO</v>
      </c>
    </row>
    <row r="192" spans="1:16" x14ac:dyDescent="0.3">
      <c r="A192">
        <v>191</v>
      </c>
      <c r="B192">
        <v>1</v>
      </c>
      <c r="C192">
        <v>9</v>
      </c>
      <c r="D192">
        <v>3</v>
      </c>
      <c r="E192">
        <v>0</v>
      </c>
      <c r="F192">
        <v>0</v>
      </c>
      <c r="G192">
        <v>33.33</v>
      </c>
      <c r="H192">
        <v>3</v>
      </c>
      <c r="I192" t="s">
        <v>66</v>
      </c>
      <c r="J192">
        <v>2</v>
      </c>
      <c r="K192" t="s">
        <v>67</v>
      </c>
      <c r="L192" t="s">
        <v>35</v>
      </c>
      <c r="M192" s="1">
        <v>41884</v>
      </c>
      <c r="N192" t="s">
        <v>103</v>
      </c>
      <c r="O192" t="str">
        <f t="shared" si="4"/>
        <v>NO</v>
      </c>
      <c r="P192" t="str">
        <f t="shared" si="5"/>
        <v>NO</v>
      </c>
    </row>
    <row r="193" spans="1:16" x14ac:dyDescent="0.3">
      <c r="A193">
        <v>192</v>
      </c>
      <c r="B193">
        <v>13</v>
      </c>
      <c r="C193">
        <v>25</v>
      </c>
      <c r="D193">
        <v>21</v>
      </c>
      <c r="E193">
        <v>2</v>
      </c>
      <c r="F193">
        <v>0</v>
      </c>
      <c r="G193">
        <v>61.9</v>
      </c>
      <c r="H193">
        <v>3</v>
      </c>
      <c r="I193" t="s">
        <v>0</v>
      </c>
      <c r="J193">
        <v>2</v>
      </c>
      <c r="K193" t="s">
        <v>67</v>
      </c>
      <c r="L193" t="s">
        <v>40</v>
      </c>
      <c r="M193" s="1">
        <v>41887</v>
      </c>
      <c r="N193" t="s">
        <v>103</v>
      </c>
      <c r="O193" t="str">
        <f t="shared" si="4"/>
        <v>NO</v>
      </c>
      <c r="P193" t="str">
        <f t="shared" si="5"/>
        <v>NO</v>
      </c>
    </row>
    <row r="194" spans="1:16" x14ac:dyDescent="0.3">
      <c r="A194">
        <v>193</v>
      </c>
      <c r="B194">
        <v>66</v>
      </c>
      <c r="C194">
        <v>54</v>
      </c>
      <c r="D194">
        <v>41</v>
      </c>
      <c r="E194">
        <v>9</v>
      </c>
      <c r="F194">
        <v>1</v>
      </c>
      <c r="G194">
        <v>160.97</v>
      </c>
      <c r="H194">
        <v>3</v>
      </c>
      <c r="I194" t="s">
        <v>0</v>
      </c>
      <c r="J194">
        <v>2</v>
      </c>
      <c r="K194" t="s">
        <v>67</v>
      </c>
      <c r="L194" t="s">
        <v>35</v>
      </c>
      <c r="M194" s="1">
        <v>41889</v>
      </c>
      <c r="N194" t="s">
        <v>104</v>
      </c>
      <c r="O194" t="str">
        <f t="shared" si="4"/>
        <v>NO</v>
      </c>
      <c r="P194" t="str">
        <f t="shared" si="5"/>
        <v>YES</v>
      </c>
    </row>
    <row r="195" spans="1:16" x14ac:dyDescent="0.3">
      <c r="A195">
        <v>194</v>
      </c>
      <c r="B195">
        <v>2</v>
      </c>
      <c r="C195">
        <v>7</v>
      </c>
      <c r="D195">
        <v>5</v>
      </c>
      <c r="E195">
        <v>0</v>
      </c>
      <c r="F195">
        <v>0</v>
      </c>
      <c r="G195">
        <v>40</v>
      </c>
      <c r="H195">
        <v>3</v>
      </c>
      <c r="I195" t="s">
        <v>0</v>
      </c>
      <c r="J195">
        <v>2</v>
      </c>
      <c r="K195" t="s">
        <v>60</v>
      </c>
      <c r="L195" t="s">
        <v>32</v>
      </c>
      <c r="M195" s="1">
        <v>41920</v>
      </c>
      <c r="N195" t="s">
        <v>103</v>
      </c>
      <c r="O195" t="str">
        <f t="shared" ref="O195:O258" si="6">IF(B195&gt;100,"YES","NO")</f>
        <v>NO</v>
      </c>
      <c r="P195" t="str">
        <f t="shared" ref="P195:P258" si="7">IF(AND(B195&gt;=50,B195&lt;100),"YES","NO")</f>
        <v>NO</v>
      </c>
    </row>
    <row r="196" spans="1:16" x14ac:dyDescent="0.3">
      <c r="A196">
        <v>195</v>
      </c>
      <c r="B196">
        <v>62</v>
      </c>
      <c r="C196">
        <v>124</v>
      </c>
      <c r="D196">
        <v>78</v>
      </c>
      <c r="E196">
        <v>5</v>
      </c>
      <c r="F196">
        <v>0</v>
      </c>
      <c r="G196">
        <v>79.48</v>
      </c>
      <c r="H196">
        <v>4</v>
      </c>
      <c r="I196" t="s">
        <v>0</v>
      </c>
      <c r="J196">
        <v>1</v>
      </c>
      <c r="K196" t="s">
        <v>60</v>
      </c>
      <c r="L196" t="s">
        <v>13</v>
      </c>
      <c r="M196" s="1">
        <v>41923</v>
      </c>
      <c r="N196" t="s">
        <v>103</v>
      </c>
      <c r="O196" t="str">
        <f t="shared" si="6"/>
        <v>NO</v>
      </c>
      <c r="P196" t="str">
        <f t="shared" si="7"/>
        <v>YES</v>
      </c>
    </row>
    <row r="197" spans="1:16" x14ac:dyDescent="0.3">
      <c r="A197">
        <v>196</v>
      </c>
      <c r="B197">
        <v>22</v>
      </c>
      <c r="C197">
        <v>34</v>
      </c>
      <c r="D197">
        <v>21</v>
      </c>
      <c r="E197">
        <v>2</v>
      </c>
      <c r="F197">
        <v>0</v>
      </c>
      <c r="G197">
        <v>104.76</v>
      </c>
      <c r="H197">
        <v>4</v>
      </c>
      <c r="I197" t="s">
        <v>0</v>
      </c>
      <c r="J197">
        <v>1</v>
      </c>
      <c r="K197" t="s">
        <v>74</v>
      </c>
      <c r="L197" t="s">
        <v>44</v>
      </c>
      <c r="M197" s="1">
        <v>41945</v>
      </c>
      <c r="N197" t="s">
        <v>103</v>
      </c>
      <c r="O197" t="str">
        <f t="shared" si="6"/>
        <v>NO</v>
      </c>
      <c r="P197" t="str">
        <f t="shared" si="7"/>
        <v>NO</v>
      </c>
    </row>
    <row r="198" spans="1:16" x14ac:dyDescent="0.3">
      <c r="A198">
        <v>197</v>
      </c>
      <c r="B198">
        <v>66</v>
      </c>
      <c r="C198">
        <v>109</v>
      </c>
      <c r="D198">
        <v>64</v>
      </c>
      <c r="E198">
        <v>6</v>
      </c>
      <c r="F198">
        <v>0</v>
      </c>
      <c r="G198">
        <v>103.12</v>
      </c>
      <c r="H198">
        <v>4</v>
      </c>
      <c r="I198" t="s">
        <v>64</v>
      </c>
      <c r="J198">
        <v>1</v>
      </c>
      <c r="K198" t="s">
        <v>74</v>
      </c>
      <c r="L198" t="s">
        <v>21</v>
      </c>
      <c r="M198" s="1">
        <v>41956</v>
      </c>
      <c r="N198" t="s">
        <v>103</v>
      </c>
      <c r="O198" t="str">
        <f t="shared" si="6"/>
        <v>NO</v>
      </c>
      <c r="P198" t="str">
        <f t="shared" si="7"/>
        <v>YES</v>
      </c>
    </row>
    <row r="199" spans="1:16" x14ac:dyDescent="0.3">
      <c r="A199">
        <v>198</v>
      </c>
      <c r="B199">
        <v>139</v>
      </c>
      <c r="C199">
        <v>192</v>
      </c>
      <c r="D199">
        <v>126</v>
      </c>
      <c r="E199">
        <v>12</v>
      </c>
      <c r="F199">
        <v>3</v>
      </c>
      <c r="G199">
        <v>110.31</v>
      </c>
      <c r="H199">
        <v>4</v>
      </c>
      <c r="I199" t="s">
        <v>66</v>
      </c>
      <c r="J199">
        <v>2</v>
      </c>
      <c r="K199" t="s">
        <v>74</v>
      </c>
      <c r="L199" t="s">
        <v>33</v>
      </c>
      <c r="M199" s="1">
        <v>41959</v>
      </c>
      <c r="N199" t="s">
        <v>103</v>
      </c>
      <c r="O199" t="str">
        <f t="shared" si="6"/>
        <v>YES</v>
      </c>
      <c r="P199" t="str">
        <f t="shared" si="7"/>
        <v>NO</v>
      </c>
    </row>
    <row r="200" spans="1:16" x14ac:dyDescent="0.3">
      <c r="A200">
        <v>199</v>
      </c>
      <c r="B200">
        <v>115</v>
      </c>
      <c r="C200">
        <v>267</v>
      </c>
      <c r="D200">
        <v>184</v>
      </c>
      <c r="E200">
        <v>12</v>
      </c>
      <c r="F200">
        <v>0</v>
      </c>
      <c r="G200">
        <v>62.5</v>
      </c>
      <c r="H200">
        <v>4</v>
      </c>
      <c r="I200" t="s">
        <v>0</v>
      </c>
      <c r="J200">
        <v>2</v>
      </c>
      <c r="K200" t="s">
        <v>63</v>
      </c>
      <c r="L200" t="s">
        <v>25</v>
      </c>
      <c r="M200" s="1">
        <v>41982</v>
      </c>
      <c r="N200" t="s">
        <v>102</v>
      </c>
      <c r="O200" t="str">
        <f t="shared" si="6"/>
        <v>YES</v>
      </c>
      <c r="P200" t="str">
        <f t="shared" si="7"/>
        <v>NO</v>
      </c>
    </row>
    <row r="201" spans="1:16" x14ac:dyDescent="0.3">
      <c r="A201">
        <v>200</v>
      </c>
      <c r="B201">
        <v>141</v>
      </c>
      <c r="C201">
        <v>279</v>
      </c>
      <c r="D201">
        <v>175</v>
      </c>
      <c r="E201">
        <v>16</v>
      </c>
      <c r="F201">
        <v>1</v>
      </c>
      <c r="G201">
        <v>80.569999999999993</v>
      </c>
      <c r="H201">
        <v>4</v>
      </c>
      <c r="I201" t="s">
        <v>0</v>
      </c>
      <c r="J201">
        <v>4</v>
      </c>
      <c r="K201" t="s">
        <v>63</v>
      </c>
      <c r="L201" t="s">
        <v>25</v>
      </c>
      <c r="M201" s="1">
        <v>41982</v>
      </c>
      <c r="N201" t="s">
        <v>102</v>
      </c>
      <c r="O201" t="str">
        <f t="shared" si="6"/>
        <v>YES</v>
      </c>
      <c r="P201" t="str">
        <f t="shared" si="7"/>
        <v>NO</v>
      </c>
    </row>
    <row r="202" spans="1:16" x14ac:dyDescent="0.3">
      <c r="A202">
        <v>201</v>
      </c>
      <c r="B202">
        <v>19</v>
      </c>
      <c r="C202">
        <v>50</v>
      </c>
      <c r="D202">
        <v>27</v>
      </c>
      <c r="E202">
        <v>1</v>
      </c>
      <c r="F202">
        <v>0</v>
      </c>
      <c r="G202">
        <v>70.37</v>
      </c>
      <c r="H202">
        <v>4</v>
      </c>
      <c r="I202" t="s">
        <v>0</v>
      </c>
      <c r="J202">
        <v>1</v>
      </c>
      <c r="K202" t="s">
        <v>63</v>
      </c>
      <c r="L202" t="s">
        <v>26</v>
      </c>
      <c r="M202" s="1">
        <v>41990</v>
      </c>
      <c r="N202" t="s">
        <v>102</v>
      </c>
      <c r="O202" t="str">
        <f t="shared" si="6"/>
        <v>NO</v>
      </c>
      <c r="P202" t="str">
        <f t="shared" si="7"/>
        <v>NO</v>
      </c>
    </row>
    <row r="203" spans="1:16" x14ac:dyDescent="0.3">
      <c r="A203">
        <v>202</v>
      </c>
      <c r="B203">
        <v>1</v>
      </c>
      <c r="C203">
        <v>14</v>
      </c>
      <c r="D203">
        <v>11</v>
      </c>
      <c r="E203">
        <v>0</v>
      </c>
      <c r="F203">
        <v>0</v>
      </c>
      <c r="G203">
        <v>9.09</v>
      </c>
      <c r="H203">
        <v>4</v>
      </c>
      <c r="I203" t="s">
        <v>7</v>
      </c>
      <c r="J203">
        <v>3</v>
      </c>
      <c r="K203" t="s">
        <v>63</v>
      </c>
      <c r="L203" t="s">
        <v>26</v>
      </c>
      <c r="M203" s="1">
        <v>41990</v>
      </c>
      <c r="N203" t="s">
        <v>102</v>
      </c>
      <c r="O203" t="str">
        <f t="shared" si="6"/>
        <v>NO</v>
      </c>
      <c r="P203" t="str">
        <f t="shared" si="7"/>
        <v>NO</v>
      </c>
    </row>
    <row r="204" spans="1:16" x14ac:dyDescent="0.3">
      <c r="A204">
        <v>203</v>
      </c>
      <c r="B204">
        <v>169</v>
      </c>
      <c r="C204">
        <v>380</v>
      </c>
      <c r="D204">
        <v>272</v>
      </c>
      <c r="E204">
        <v>18</v>
      </c>
      <c r="F204">
        <v>0</v>
      </c>
      <c r="G204">
        <v>62.13</v>
      </c>
      <c r="H204">
        <v>4</v>
      </c>
      <c r="I204" t="s">
        <v>0</v>
      </c>
      <c r="J204">
        <v>2</v>
      </c>
      <c r="K204" t="s">
        <v>63</v>
      </c>
      <c r="L204" t="s">
        <v>22</v>
      </c>
      <c r="M204" s="1">
        <v>41999</v>
      </c>
      <c r="N204" t="s">
        <v>102</v>
      </c>
      <c r="O204" t="str">
        <f t="shared" si="6"/>
        <v>YES</v>
      </c>
      <c r="P204" t="str">
        <f t="shared" si="7"/>
        <v>NO</v>
      </c>
    </row>
    <row r="205" spans="1:16" x14ac:dyDescent="0.3">
      <c r="A205">
        <v>204</v>
      </c>
      <c r="B205">
        <v>54</v>
      </c>
      <c r="C205">
        <v>134</v>
      </c>
      <c r="D205">
        <v>99</v>
      </c>
      <c r="E205">
        <v>7</v>
      </c>
      <c r="F205">
        <v>0</v>
      </c>
      <c r="G205">
        <v>54.54</v>
      </c>
      <c r="H205">
        <v>4</v>
      </c>
      <c r="I205" t="s">
        <v>0</v>
      </c>
      <c r="J205">
        <v>4</v>
      </c>
      <c r="K205" t="s">
        <v>63</v>
      </c>
      <c r="L205" t="s">
        <v>22</v>
      </c>
      <c r="M205" s="1">
        <v>41999</v>
      </c>
      <c r="N205" t="s">
        <v>102</v>
      </c>
      <c r="O205" t="str">
        <f t="shared" si="6"/>
        <v>NO</v>
      </c>
      <c r="P205" t="str">
        <f t="shared" si="7"/>
        <v>YES</v>
      </c>
    </row>
    <row r="206" spans="1:16" x14ac:dyDescent="0.3">
      <c r="A206">
        <v>205</v>
      </c>
      <c r="B206">
        <v>147</v>
      </c>
      <c r="C206">
        <v>315</v>
      </c>
      <c r="D206">
        <v>230</v>
      </c>
      <c r="E206">
        <v>20</v>
      </c>
      <c r="F206">
        <v>0</v>
      </c>
      <c r="G206">
        <v>63.91</v>
      </c>
      <c r="H206">
        <v>4</v>
      </c>
      <c r="I206" t="s">
        <v>0</v>
      </c>
      <c r="J206">
        <v>2</v>
      </c>
      <c r="K206" t="s">
        <v>63</v>
      </c>
      <c r="L206" t="s">
        <v>23</v>
      </c>
      <c r="M206" s="1">
        <v>42010</v>
      </c>
      <c r="N206" t="s">
        <v>102</v>
      </c>
      <c r="O206" t="str">
        <f t="shared" si="6"/>
        <v>YES</v>
      </c>
      <c r="P206" t="str">
        <f t="shared" si="7"/>
        <v>NO</v>
      </c>
    </row>
    <row r="207" spans="1:16" x14ac:dyDescent="0.3">
      <c r="A207">
        <v>206</v>
      </c>
      <c r="B207">
        <v>46</v>
      </c>
      <c r="C207">
        <v>123</v>
      </c>
      <c r="D207">
        <v>95</v>
      </c>
      <c r="E207">
        <v>3</v>
      </c>
      <c r="F207">
        <v>0</v>
      </c>
      <c r="G207">
        <v>48.42</v>
      </c>
      <c r="H207">
        <v>4</v>
      </c>
      <c r="I207" t="s">
        <v>0</v>
      </c>
      <c r="J207">
        <v>4</v>
      </c>
      <c r="K207" t="s">
        <v>63</v>
      </c>
      <c r="L207" t="s">
        <v>23</v>
      </c>
      <c r="M207" s="1">
        <v>42010</v>
      </c>
      <c r="N207" t="s">
        <v>102</v>
      </c>
      <c r="O207" t="str">
        <f t="shared" si="6"/>
        <v>NO</v>
      </c>
      <c r="P207" t="str">
        <f t="shared" si="7"/>
        <v>NO</v>
      </c>
    </row>
    <row r="208" spans="1:16" x14ac:dyDescent="0.3">
      <c r="A208">
        <v>207</v>
      </c>
      <c r="B208">
        <v>9</v>
      </c>
      <c r="C208">
        <v>24</v>
      </c>
      <c r="D208">
        <v>16</v>
      </c>
      <c r="E208">
        <v>0</v>
      </c>
      <c r="F208">
        <v>0</v>
      </c>
      <c r="G208">
        <v>56.25</v>
      </c>
      <c r="H208">
        <v>4</v>
      </c>
      <c r="I208" t="s">
        <v>0</v>
      </c>
      <c r="J208">
        <v>1</v>
      </c>
      <c r="K208" t="s">
        <v>63</v>
      </c>
      <c r="L208" t="s">
        <v>22</v>
      </c>
      <c r="M208" s="1">
        <v>42022</v>
      </c>
      <c r="N208" t="s">
        <v>103</v>
      </c>
      <c r="O208" t="str">
        <f t="shared" si="6"/>
        <v>NO</v>
      </c>
      <c r="P208" t="str">
        <f t="shared" si="7"/>
        <v>NO</v>
      </c>
    </row>
    <row r="209" spans="1:16" x14ac:dyDescent="0.3">
      <c r="A209">
        <v>208</v>
      </c>
      <c r="B209">
        <v>3</v>
      </c>
      <c r="C209">
        <v>8</v>
      </c>
      <c r="D209">
        <v>9</v>
      </c>
      <c r="E209">
        <v>0</v>
      </c>
      <c r="F209">
        <v>0</v>
      </c>
      <c r="G209">
        <v>33.33</v>
      </c>
      <c r="H209">
        <v>4</v>
      </c>
      <c r="I209" t="s">
        <v>66</v>
      </c>
      <c r="J209">
        <v>1</v>
      </c>
      <c r="K209" t="s">
        <v>63</v>
      </c>
      <c r="L209" t="s">
        <v>23</v>
      </c>
      <c r="M209" s="1">
        <v>42030</v>
      </c>
      <c r="N209" t="s">
        <v>103</v>
      </c>
      <c r="O209" t="str">
        <f t="shared" si="6"/>
        <v>NO</v>
      </c>
      <c r="P209" t="str">
        <f t="shared" si="7"/>
        <v>NO</v>
      </c>
    </row>
    <row r="210" spans="1:16" x14ac:dyDescent="0.3">
      <c r="A210">
        <v>209</v>
      </c>
      <c r="B210">
        <v>107</v>
      </c>
      <c r="C210">
        <v>168</v>
      </c>
      <c r="D210">
        <v>126</v>
      </c>
      <c r="E210">
        <v>8</v>
      </c>
      <c r="F210">
        <v>0</v>
      </c>
      <c r="G210">
        <v>84.92</v>
      </c>
      <c r="H210">
        <v>3</v>
      </c>
      <c r="I210" t="s">
        <v>0</v>
      </c>
      <c r="J210">
        <v>1</v>
      </c>
      <c r="K210" t="s">
        <v>84</v>
      </c>
      <c r="L210" t="s">
        <v>25</v>
      </c>
      <c r="M210" s="1">
        <v>42050</v>
      </c>
      <c r="N210" t="s">
        <v>103</v>
      </c>
      <c r="O210" t="str">
        <f t="shared" si="6"/>
        <v>YES</v>
      </c>
      <c r="P210" t="str">
        <f t="shared" si="7"/>
        <v>NO</v>
      </c>
    </row>
    <row r="211" spans="1:16" x14ac:dyDescent="0.3">
      <c r="A211">
        <v>210</v>
      </c>
      <c r="B211">
        <v>46</v>
      </c>
      <c r="C211">
        <v>106</v>
      </c>
      <c r="D211">
        <v>60</v>
      </c>
      <c r="E211">
        <v>3</v>
      </c>
      <c r="F211">
        <v>0</v>
      </c>
      <c r="G211">
        <v>76.66</v>
      </c>
      <c r="H211">
        <v>3</v>
      </c>
      <c r="I211" t="s">
        <v>0</v>
      </c>
      <c r="J211">
        <v>1</v>
      </c>
      <c r="K211" t="s">
        <v>68</v>
      </c>
      <c r="L211" t="s">
        <v>22</v>
      </c>
      <c r="M211" s="1">
        <v>42057</v>
      </c>
      <c r="N211" t="s">
        <v>103</v>
      </c>
      <c r="O211" t="str">
        <f t="shared" si="6"/>
        <v>NO</v>
      </c>
      <c r="P211" t="str">
        <f t="shared" si="7"/>
        <v>NO</v>
      </c>
    </row>
    <row r="212" spans="1:16" x14ac:dyDescent="0.3">
      <c r="A212">
        <v>211</v>
      </c>
      <c r="B212">
        <v>33</v>
      </c>
      <c r="C212">
        <v>49</v>
      </c>
      <c r="D212">
        <v>41</v>
      </c>
      <c r="E212">
        <v>5</v>
      </c>
      <c r="F212">
        <v>0</v>
      </c>
      <c r="G212">
        <v>80.48</v>
      </c>
      <c r="H212">
        <v>3</v>
      </c>
      <c r="I212" t="s">
        <v>66</v>
      </c>
      <c r="J212">
        <v>2</v>
      </c>
      <c r="K212" t="s">
        <v>85</v>
      </c>
      <c r="L212" t="s">
        <v>24</v>
      </c>
      <c r="M212" s="1">
        <v>42063</v>
      </c>
      <c r="N212" t="s">
        <v>103</v>
      </c>
      <c r="O212" t="str">
        <f t="shared" si="6"/>
        <v>NO</v>
      </c>
      <c r="P212" t="str">
        <f t="shared" si="7"/>
        <v>NO</v>
      </c>
    </row>
    <row r="213" spans="1:16" x14ac:dyDescent="0.3">
      <c r="A213">
        <v>212</v>
      </c>
      <c r="B213">
        <v>33</v>
      </c>
      <c r="C213">
        <v>51</v>
      </c>
      <c r="D213">
        <v>36</v>
      </c>
      <c r="E213">
        <v>5</v>
      </c>
      <c r="F213">
        <v>0</v>
      </c>
      <c r="G213">
        <v>91.66</v>
      </c>
      <c r="H213">
        <v>3</v>
      </c>
      <c r="I213" t="s">
        <v>0</v>
      </c>
      <c r="J213">
        <v>2</v>
      </c>
      <c r="K213" t="s">
        <v>60</v>
      </c>
      <c r="L213" t="s">
        <v>24</v>
      </c>
      <c r="M213" s="1">
        <v>42069</v>
      </c>
      <c r="N213" t="s">
        <v>103</v>
      </c>
      <c r="O213" t="str">
        <f t="shared" si="6"/>
        <v>NO</v>
      </c>
      <c r="P213" t="str">
        <f t="shared" si="7"/>
        <v>NO</v>
      </c>
    </row>
    <row r="214" spans="1:16" x14ac:dyDescent="0.3">
      <c r="A214">
        <v>213</v>
      </c>
      <c r="B214">
        <v>44</v>
      </c>
      <c r="C214">
        <v>64</v>
      </c>
      <c r="D214">
        <v>42</v>
      </c>
      <c r="E214">
        <v>4</v>
      </c>
      <c r="F214">
        <v>1</v>
      </c>
      <c r="G214">
        <v>104.76</v>
      </c>
      <c r="H214">
        <v>3</v>
      </c>
      <c r="I214" t="s">
        <v>66</v>
      </c>
      <c r="J214">
        <v>2</v>
      </c>
      <c r="K214" t="s">
        <v>88</v>
      </c>
      <c r="L214" t="s">
        <v>41</v>
      </c>
      <c r="M214" s="1">
        <v>42073</v>
      </c>
      <c r="N214" t="s">
        <v>103</v>
      </c>
      <c r="O214" t="str">
        <f t="shared" si="6"/>
        <v>NO</v>
      </c>
      <c r="P214" t="str">
        <f t="shared" si="7"/>
        <v>NO</v>
      </c>
    </row>
    <row r="215" spans="1:16" x14ac:dyDescent="0.3">
      <c r="A215">
        <v>214</v>
      </c>
      <c r="B215">
        <v>38</v>
      </c>
      <c r="C215">
        <v>71</v>
      </c>
      <c r="D215">
        <v>48</v>
      </c>
      <c r="E215">
        <v>4</v>
      </c>
      <c r="F215">
        <v>0</v>
      </c>
      <c r="G215">
        <v>79.16</v>
      </c>
      <c r="H215">
        <v>3</v>
      </c>
      <c r="I215" t="s">
        <v>7</v>
      </c>
      <c r="J215">
        <v>2</v>
      </c>
      <c r="K215" t="s">
        <v>82</v>
      </c>
      <c r="L215" t="s">
        <v>42</v>
      </c>
      <c r="M215" s="1">
        <v>42077</v>
      </c>
      <c r="N215" t="s">
        <v>103</v>
      </c>
      <c r="O215" t="str">
        <f t="shared" si="6"/>
        <v>NO</v>
      </c>
      <c r="P215" t="str">
        <f t="shared" si="7"/>
        <v>NO</v>
      </c>
    </row>
    <row r="216" spans="1:16" x14ac:dyDescent="0.3">
      <c r="A216">
        <v>215</v>
      </c>
      <c r="B216">
        <v>1</v>
      </c>
      <c r="C216">
        <v>11</v>
      </c>
      <c r="D216">
        <v>13</v>
      </c>
      <c r="E216">
        <v>0</v>
      </c>
      <c r="F216">
        <v>0</v>
      </c>
      <c r="G216">
        <v>7.69</v>
      </c>
      <c r="H216">
        <v>3</v>
      </c>
      <c r="I216" t="s">
        <v>0</v>
      </c>
      <c r="J216">
        <v>2</v>
      </c>
      <c r="K216" t="s">
        <v>63</v>
      </c>
      <c r="L216" t="s">
        <v>23</v>
      </c>
      <c r="M216" s="1">
        <v>42089</v>
      </c>
      <c r="N216" t="s">
        <v>103</v>
      </c>
      <c r="O216" t="str">
        <f t="shared" si="6"/>
        <v>NO</v>
      </c>
      <c r="P216" t="str">
        <f t="shared" si="7"/>
        <v>NO</v>
      </c>
    </row>
    <row r="217" spans="1:16" x14ac:dyDescent="0.3">
      <c r="A217">
        <v>216</v>
      </c>
      <c r="B217">
        <v>14</v>
      </c>
      <c r="C217">
        <v>17</v>
      </c>
      <c r="D217">
        <v>22</v>
      </c>
      <c r="E217">
        <v>2</v>
      </c>
      <c r="F217">
        <v>0</v>
      </c>
      <c r="G217">
        <v>63.63</v>
      </c>
      <c r="H217">
        <v>4</v>
      </c>
      <c r="I217" t="s">
        <v>7</v>
      </c>
      <c r="J217">
        <v>1</v>
      </c>
      <c r="K217" t="s">
        <v>73</v>
      </c>
      <c r="L217" t="s">
        <v>38</v>
      </c>
      <c r="M217" s="1">
        <v>42165</v>
      </c>
      <c r="N217" t="s">
        <v>102</v>
      </c>
      <c r="O217" t="str">
        <f t="shared" si="6"/>
        <v>NO</v>
      </c>
      <c r="P217" t="str">
        <f t="shared" si="7"/>
        <v>NO</v>
      </c>
    </row>
    <row r="218" spans="1:16" x14ac:dyDescent="0.3">
      <c r="A218">
        <v>217</v>
      </c>
      <c r="B218">
        <v>1</v>
      </c>
      <c r="C218">
        <v>9</v>
      </c>
      <c r="D218">
        <v>4</v>
      </c>
      <c r="E218">
        <v>0</v>
      </c>
      <c r="F218">
        <v>0</v>
      </c>
      <c r="G218">
        <v>25</v>
      </c>
      <c r="H218">
        <v>3</v>
      </c>
      <c r="I218" t="s">
        <v>0</v>
      </c>
      <c r="J218">
        <v>2</v>
      </c>
      <c r="K218" t="s">
        <v>73</v>
      </c>
      <c r="L218" t="s">
        <v>6</v>
      </c>
      <c r="M218" s="1">
        <v>42173</v>
      </c>
      <c r="N218" t="s">
        <v>103</v>
      </c>
      <c r="O218" t="str">
        <f t="shared" si="6"/>
        <v>NO</v>
      </c>
      <c r="P218" t="str">
        <f t="shared" si="7"/>
        <v>NO</v>
      </c>
    </row>
    <row r="219" spans="1:16" x14ac:dyDescent="0.3">
      <c r="A219">
        <v>218</v>
      </c>
      <c r="B219">
        <v>23</v>
      </c>
      <c r="C219">
        <v>57</v>
      </c>
      <c r="D219">
        <v>27</v>
      </c>
      <c r="E219">
        <v>3</v>
      </c>
      <c r="F219">
        <v>1</v>
      </c>
      <c r="G219">
        <v>85.18</v>
      </c>
      <c r="H219">
        <v>3</v>
      </c>
      <c r="I219" t="s">
        <v>4</v>
      </c>
      <c r="J219">
        <v>1</v>
      </c>
      <c r="K219" t="s">
        <v>73</v>
      </c>
      <c r="L219" t="s">
        <v>6</v>
      </c>
      <c r="M219" s="1">
        <v>42176</v>
      </c>
      <c r="N219" t="s">
        <v>103</v>
      </c>
      <c r="O219" t="str">
        <f t="shared" si="6"/>
        <v>NO</v>
      </c>
      <c r="P219" t="str">
        <f t="shared" si="7"/>
        <v>NO</v>
      </c>
    </row>
    <row r="220" spans="1:16" x14ac:dyDescent="0.3">
      <c r="A220">
        <v>219</v>
      </c>
      <c r="B220">
        <v>25</v>
      </c>
      <c r="C220">
        <v>55</v>
      </c>
      <c r="D220">
        <v>35</v>
      </c>
      <c r="E220">
        <v>1</v>
      </c>
      <c r="F220">
        <v>0</v>
      </c>
      <c r="G220">
        <v>71.42</v>
      </c>
      <c r="H220">
        <v>3</v>
      </c>
      <c r="I220" t="s">
        <v>7</v>
      </c>
      <c r="J220">
        <v>1</v>
      </c>
      <c r="K220" t="s">
        <v>73</v>
      </c>
      <c r="L220" t="s">
        <v>6</v>
      </c>
      <c r="M220" s="1">
        <v>42179</v>
      </c>
      <c r="N220" t="s">
        <v>103</v>
      </c>
      <c r="O220" t="str">
        <f t="shared" si="6"/>
        <v>NO</v>
      </c>
      <c r="P220" t="str">
        <f t="shared" si="7"/>
        <v>NO</v>
      </c>
    </row>
    <row r="221" spans="1:16" x14ac:dyDescent="0.3">
      <c r="A221">
        <v>220</v>
      </c>
      <c r="B221">
        <v>103</v>
      </c>
      <c r="C221">
        <v>266</v>
      </c>
      <c r="D221">
        <v>191</v>
      </c>
      <c r="E221">
        <v>11</v>
      </c>
      <c r="F221">
        <v>0</v>
      </c>
      <c r="G221">
        <v>53.92</v>
      </c>
      <c r="H221">
        <v>4</v>
      </c>
      <c r="I221" t="s">
        <v>4</v>
      </c>
      <c r="J221">
        <v>2</v>
      </c>
      <c r="K221" t="s">
        <v>74</v>
      </c>
      <c r="L221" t="s">
        <v>75</v>
      </c>
      <c r="M221" s="1">
        <v>42228</v>
      </c>
      <c r="N221" t="s">
        <v>102</v>
      </c>
      <c r="O221" t="str">
        <f t="shared" si="6"/>
        <v>YES</v>
      </c>
      <c r="P221" t="str">
        <f t="shared" si="7"/>
        <v>NO</v>
      </c>
    </row>
    <row r="222" spans="1:16" x14ac:dyDescent="0.3">
      <c r="A222">
        <v>221</v>
      </c>
      <c r="B222">
        <v>3</v>
      </c>
      <c r="C222">
        <v>14</v>
      </c>
      <c r="D222">
        <v>10</v>
      </c>
      <c r="E222">
        <v>0</v>
      </c>
      <c r="F222">
        <v>0</v>
      </c>
      <c r="G222">
        <v>30</v>
      </c>
      <c r="H222">
        <v>5</v>
      </c>
      <c r="I222" t="s">
        <v>0</v>
      </c>
      <c r="J222">
        <v>4</v>
      </c>
      <c r="K222" t="s">
        <v>74</v>
      </c>
      <c r="L222" t="s">
        <v>75</v>
      </c>
      <c r="M222" s="1">
        <v>42228</v>
      </c>
      <c r="N222" t="s">
        <v>102</v>
      </c>
      <c r="O222" t="str">
        <f t="shared" si="6"/>
        <v>NO</v>
      </c>
      <c r="P222" t="str">
        <f t="shared" si="7"/>
        <v>NO</v>
      </c>
    </row>
    <row r="223" spans="1:16" x14ac:dyDescent="0.3">
      <c r="A223">
        <v>222</v>
      </c>
      <c r="B223">
        <v>78</v>
      </c>
      <c r="C223">
        <v>178</v>
      </c>
      <c r="D223">
        <v>107</v>
      </c>
      <c r="E223">
        <v>8</v>
      </c>
      <c r="F223">
        <v>1</v>
      </c>
      <c r="G223">
        <v>72.89</v>
      </c>
      <c r="H223">
        <v>4</v>
      </c>
      <c r="I223" t="s">
        <v>0</v>
      </c>
      <c r="J223">
        <v>1</v>
      </c>
      <c r="K223" t="s">
        <v>74</v>
      </c>
      <c r="L223" t="s">
        <v>76</v>
      </c>
      <c r="M223" s="1">
        <v>42236</v>
      </c>
      <c r="N223" t="s">
        <v>102</v>
      </c>
      <c r="O223" t="str">
        <f t="shared" si="6"/>
        <v>NO</v>
      </c>
      <c r="P223" t="str">
        <f t="shared" si="7"/>
        <v>YES</v>
      </c>
    </row>
    <row r="224" spans="1:16" x14ac:dyDescent="0.3">
      <c r="A224">
        <v>223</v>
      </c>
      <c r="B224">
        <v>10</v>
      </c>
      <c r="C224">
        <v>33</v>
      </c>
      <c r="D224">
        <v>19</v>
      </c>
      <c r="E224">
        <v>0</v>
      </c>
      <c r="F224">
        <v>0</v>
      </c>
      <c r="G224">
        <v>52.63</v>
      </c>
      <c r="H224">
        <v>4</v>
      </c>
      <c r="I224" t="s">
        <v>4</v>
      </c>
      <c r="J224">
        <v>3</v>
      </c>
      <c r="K224" t="s">
        <v>74</v>
      </c>
      <c r="L224" t="s">
        <v>76</v>
      </c>
      <c r="M224" s="1">
        <v>42236</v>
      </c>
      <c r="N224" t="s">
        <v>102</v>
      </c>
      <c r="O224" t="str">
        <f t="shared" si="6"/>
        <v>NO</v>
      </c>
      <c r="P224" t="str">
        <f t="shared" si="7"/>
        <v>NO</v>
      </c>
    </row>
    <row r="225" spans="1:16" x14ac:dyDescent="0.3">
      <c r="A225">
        <v>224</v>
      </c>
      <c r="B225">
        <v>18</v>
      </c>
      <c r="C225">
        <v>96</v>
      </c>
      <c r="D225">
        <v>60</v>
      </c>
      <c r="E225">
        <v>3</v>
      </c>
      <c r="F225">
        <v>0</v>
      </c>
      <c r="G225">
        <v>30</v>
      </c>
      <c r="H225">
        <v>4</v>
      </c>
      <c r="I225" t="s">
        <v>0</v>
      </c>
      <c r="J225">
        <v>1</v>
      </c>
      <c r="K225" t="s">
        <v>74</v>
      </c>
      <c r="L225" t="s">
        <v>77</v>
      </c>
      <c r="M225" s="1">
        <v>42244</v>
      </c>
      <c r="N225" t="s">
        <v>102</v>
      </c>
      <c r="O225" t="str">
        <f t="shared" si="6"/>
        <v>NO</v>
      </c>
      <c r="P225" t="str">
        <f t="shared" si="7"/>
        <v>NO</v>
      </c>
    </row>
    <row r="226" spans="1:16" x14ac:dyDescent="0.3">
      <c r="A226">
        <v>225</v>
      </c>
      <c r="B226">
        <v>21</v>
      </c>
      <c r="C226">
        <v>87</v>
      </c>
      <c r="D226">
        <v>63</v>
      </c>
      <c r="E226">
        <v>2</v>
      </c>
      <c r="F226">
        <v>0</v>
      </c>
      <c r="G226">
        <v>33.33</v>
      </c>
      <c r="H226">
        <v>4</v>
      </c>
      <c r="I226" t="s">
        <v>0</v>
      </c>
      <c r="J226">
        <v>3</v>
      </c>
      <c r="K226" t="s">
        <v>74</v>
      </c>
      <c r="L226" t="s">
        <v>77</v>
      </c>
      <c r="M226" s="1">
        <v>42244</v>
      </c>
      <c r="N226" t="s">
        <v>102</v>
      </c>
      <c r="O226" t="str">
        <f t="shared" si="6"/>
        <v>NO</v>
      </c>
      <c r="P226" t="str">
        <f t="shared" si="7"/>
        <v>NO</v>
      </c>
    </row>
    <row r="227" spans="1:16" x14ac:dyDescent="0.3">
      <c r="A227">
        <v>226</v>
      </c>
      <c r="B227">
        <v>43</v>
      </c>
      <c r="C227">
        <v>58</v>
      </c>
      <c r="D227">
        <v>27</v>
      </c>
      <c r="E227">
        <v>1</v>
      </c>
      <c r="F227">
        <v>3</v>
      </c>
      <c r="G227">
        <v>159.25</v>
      </c>
      <c r="H227">
        <v>3</v>
      </c>
      <c r="I227" t="s">
        <v>0</v>
      </c>
      <c r="J227">
        <v>1</v>
      </c>
      <c r="K227" t="s">
        <v>68</v>
      </c>
      <c r="L227" t="s">
        <v>34</v>
      </c>
      <c r="M227" s="1">
        <v>42279</v>
      </c>
      <c r="N227" t="s">
        <v>104</v>
      </c>
      <c r="O227" t="str">
        <f t="shared" si="6"/>
        <v>NO</v>
      </c>
      <c r="P227" t="str">
        <f t="shared" si="7"/>
        <v>NO</v>
      </c>
    </row>
    <row r="228" spans="1:16" x14ac:dyDescent="0.3">
      <c r="A228">
        <v>227</v>
      </c>
      <c r="B228">
        <v>1</v>
      </c>
      <c r="C228">
        <v>3</v>
      </c>
      <c r="D228">
        <v>1</v>
      </c>
      <c r="E228">
        <v>0</v>
      </c>
      <c r="F228">
        <v>0</v>
      </c>
      <c r="G228">
        <v>100</v>
      </c>
      <c r="H228">
        <v>3</v>
      </c>
      <c r="I228" t="s">
        <v>64</v>
      </c>
      <c r="J228">
        <v>1</v>
      </c>
      <c r="K228" t="s">
        <v>68</v>
      </c>
      <c r="L228" t="s">
        <v>44</v>
      </c>
      <c r="M228" s="1">
        <v>42282</v>
      </c>
      <c r="N228" t="s">
        <v>104</v>
      </c>
      <c r="O228" t="str">
        <f t="shared" si="6"/>
        <v>NO</v>
      </c>
      <c r="P228" t="str">
        <f t="shared" si="7"/>
        <v>NO</v>
      </c>
    </row>
    <row r="229" spans="1:16" x14ac:dyDescent="0.3">
      <c r="A229">
        <v>228</v>
      </c>
      <c r="B229">
        <v>11</v>
      </c>
      <c r="C229">
        <v>29</v>
      </c>
      <c r="D229">
        <v>18</v>
      </c>
      <c r="E229">
        <v>0</v>
      </c>
      <c r="F229">
        <v>0</v>
      </c>
      <c r="G229">
        <v>61.11</v>
      </c>
      <c r="H229">
        <v>4</v>
      </c>
      <c r="I229" t="s">
        <v>0</v>
      </c>
      <c r="J229">
        <v>2</v>
      </c>
      <c r="K229" t="s">
        <v>68</v>
      </c>
      <c r="L229" t="s">
        <v>45</v>
      </c>
      <c r="M229" s="1">
        <v>42288</v>
      </c>
      <c r="N229" t="s">
        <v>103</v>
      </c>
      <c r="O229" t="str">
        <f t="shared" si="6"/>
        <v>NO</v>
      </c>
      <c r="P229" t="str">
        <f t="shared" si="7"/>
        <v>NO</v>
      </c>
    </row>
    <row r="230" spans="1:16" x14ac:dyDescent="0.3">
      <c r="A230">
        <v>229</v>
      </c>
      <c r="B230">
        <v>12</v>
      </c>
      <c r="C230">
        <v>24</v>
      </c>
      <c r="D230">
        <v>18</v>
      </c>
      <c r="E230">
        <v>0</v>
      </c>
      <c r="F230">
        <v>0</v>
      </c>
      <c r="G230">
        <v>66.66</v>
      </c>
      <c r="H230">
        <v>4</v>
      </c>
      <c r="I230" t="s">
        <v>64</v>
      </c>
      <c r="J230">
        <v>1</v>
      </c>
      <c r="K230" t="s">
        <v>68</v>
      </c>
      <c r="L230" t="s">
        <v>46</v>
      </c>
      <c r="M230" s="1">
        <v>42291</v>
      </c>
      <c r="N230" t="s">
        <v>103</v>
      </c>
      <c r="O230" t="str">
        <f t="shared" si="6"/>
        <v>NO</v>
      </c>
      <c r="P230" t="str">
        <f t="shared" si="7"/>
        <v>NO</v>
      </c>
    </row>
    <row r="231" spans="1:16" x14ac:dyDescent="0.3">
      <c r="A231">
        <v>230</v>
      </c>
      <c r="B231">
        <v>77</v>
      </c>
      <c r="C231">
        <v>155</v>
      </c>
      <c r="D231">
        <v>99</v>
      </c>
      <c r="E231">
        <v>5</v>
      </c>
      <c r="F231">
        <v>0</v>
      </c>
      <c r="G231">
        <v>77.77</v>
      </c>
      <c r="H231">
        <v>3</v>
      </c>
      <c r="I231" t="s">
        <v>0</v>
      </c>
      <c r="J231">
        <v>2</v>
      </c>
      <c r="K231" t="s">
        <v>68</v>
      </c>
      <c r="L231" t="s">
        <v>31</v>
      </c>
      <c r="M231" s="1">
        <v>42295</v>
      </c>
      <c r="N231" t="s">
        <v>103</v>
      </c>
      <c r="O231" t="str">
        <f t="shared" si="6"/>
        <v>NO</v>
      </c>
      <c r="P231" t="str">
        <f t="shared" si="7"/>
        <v>YES</v>
      </c>
    </row>
    <row r="232" spans="1:16" x14ac:dyDescent="0.3">
      <c r="A232">
        <v>231</v>
      </c>
      <c r="B232">
        <v>138</v>
      </c>
      <c r="C232">
        <v>202</v>
      </c>
      <c r="D232">
        <v>140</v>
      </c>
      <c r="E232">
        <v>6</v>
      </c>
      <c r="F232">
        <v>5</v>
      </c>
      <c r="G232">
        <v>98.57</v>
      </c>
      <c r="H232">
        <v>3</v>
      </c>
      <c r="I232" t="s">
        <v>0</v>
      </c>
      <c r="J232">
        <v>1</v>
      </c>
      <c r="K232" t="s">
        <v>68</v>
      </c>
      <c r="L232" t="s">
        <v>30</v>
      </c>
      <c r="M232" s="1">
        <v>42299</v>
      </c>
      <c r="N232" t="s">
        <v>103</v>
      </c>
      <c r="O232" t="str">
        <f t="shared" si="6"/>
        <v>YES</v>
      </c>
      <c r="P232" t="str">
        <f t="shared" si="7"/>
        <v>NO</v>
      </c>
    </row>
    <row r="233" spans="1:16" x14ac:dyDescent="0.3">
      <c r="A233">
        <v>232</v>
      </c>
      <c r="B233">
        <v>1</v>
      </c>
      <c r="C233">
        <v>5</v>
      </c>
      <c r="D233">
        <v>4</v>
      </c>
      <c r="E233">
        <v>0</v>
      </c>
      <c r="F233">
        <v>0</v>
      </c>
      <c r="G233">
        <v>25</v>
      </c>
      <c r="H233">
        <v>4</v>
      </c>
      <c r="I233" t="s">
        <v>0</v>
      </c>
      <c r="J233">
        <v>1</v>
      </c>
      <c r="K233" t="s">
        <v>68</v>
      </c>
      <c r="L233" t="s">
        <v>5</v>
      </c>
      <c r="M233" s="1">
        <v>42313</v>
      </c>
      <c r="N233" t="s">
        <v>102</v>
      </c>
      <c r="O233" t="str">
        <f t="shared" si="6"/>
        <v>NO</v>
      </c>
      <c r="P233" t="str">
        <f t="shared" si="7"/>
        <v>NO</v>
      </c>
    </row>
    <row r="234" spans="1:16" x14ac:dyDescent="0.3">
      <c r="A234">
        <v>233</v>
      </c>
      <c r="B234">
        <v>29</v>
      </c>
      <c r="C234">
        <v>92</v>
      </c>
      <c r="D234">
        <v>71</v>
      </c>
      <c r="E234">
        <v>4</v>
      </c>
      <c r="F234">
        <v>0</v>
      </c>
      <c r="G234">
        <v>40.840000000000003</v>
      </c>
      <c r="H234">
        <v>4</v>
      </c>
      <c r="I234" t="s">
        <v>0</v>
      </c>
      <c r="J234">
        <v>3</v>
      </c>
      <c r="K234" t="s">
        <v>68</v>
      </c>
      <c r="L234" t="s">
        <v>5</v>
      </c>
      <c r="M234" s="1">
        <v>42313</v>
      </c>
      <c r="N234" t="s">
        <v>102</v>
      </c>
      <c r="O234" t="str">
        <f t="shared" si="6"/>
        <v>NO</v>
      </c>
      <c r="P234" t="str">
        <f t="shared" si="7"/>
        <v>NO</v>
      </c>
    </row>
    <row r="235" spans="1:16" x14ac:dyDescent="0.3">
      <c r="A235">
        <v>234</v>
      </c>
      <c r="B235">
        <v>22</v>
      </c>
      <c r="C235">
        <v>73</v>
      </c>
      <c r="D235">
        <v>55</v>
      </c>
      <c r="E235">
        <v>2</v>
      </c>
      <c r="F235">
        <v>0</v>
      </c>
      <c r="G235">
        <v>40</v>
      </c>
      <c r="H235">
        <v>4</v>
      </c>
      <c r="I235" t="s">
        <v>0</v>
      </c>
      <c r="J235">
        <v>1</v>
      </c>
      <c r="K235" t="s">
        <v>68</v>
      </c>
      <c r="L235" t="s">
        <v>28</v>
      </c>
      <c r="M235" s="1">
        <v>42333</v>
      </c>
      <c r="N235" t="s">
        <v>102</v>
      </c>
      <c r="O235" t="str">
        <f t="shared" si="6"/>
        <v>NO</v>
      </c>
      <c r="P235" t="str">
        <f t="shared" si="7"/>
        <v>NO</v>
      </c>
    </row>
    <row r="236" spans="1:16" x14ac:dyDescent="0.3">
      <c r="A236">
        <v>235</v>
      </c>
      <c r="B236">
        <v>44</v>
      </c>
      <c r="C236">
        <v>74</v>
      </c>
      <c r="D236">
        <v>62</v>
      </c>
      <c r="E236">
        <v>7</v>
      </c>
      <c r="F236">
        <v>0</v>
      </c>
      <c r="G236">
        <v>70.959999999999994</v>
      </c>
      <c r="H236">
        <v>4</v>
      </c>
      <c r="I236" t="s">
        <v>0</v>
      </c>
      <c r="J236">
        <v>1</v>
      </c>
      <c r="K236" t="s">
        <v>68</v>
      </c>
      <c r="L236" t="s">
        <v>13</v>
      </c>
      <c r="M236" s="1">
        <v>42341</v>
      </c>
      <c r="N236" t="s">
        <v>102</v>
      </c>
      <c r="O236" t="str">
        <f t="shared" si="6"/>
        <v>NO</v>
      </c>
      <c r="P236" t="str">
        <f t="shared" si="7"/>
        <v>NO</v>
      </c>
    </row>
    <row r="237" spans="1:16" x14ac:dyDescent="0.3">
      <c r="A237">
        <v>236</v>
      </c>
      <c r="B237">
        <v>91</v>
      </c>
      <c r="C237">
        <v>148</v>
      </c>
      <c r="D237">
        <v>97</v>
      </c>
      <c r="E237">
        <v>9</v>
      </c>
      <c r="F237">
        <v>1</v>
      </c>
      <c r="G237">
        <v>93.81</v>
      </c>
      <c r="H237">
        <v>3</v>
      </c>
      <c r="I237" t="s">
        <v>0</v>
      </c>
      <c r="J237">
        <v>1</v>
      </c>
      <c r="K237" t="s">
        <v>63</v>
      </c>
      <c r="L237" t="s">
        <v>24</v>
      </c>
      <c r="M237" s="1">
        <v>42381</v>
      </c>
      <c r="N237" t="s">
        <v>103</v>
      </c>
      <c r="O237" t="str">
        <f t="shared" si="6"/>
        <v>NO</v>
      </c>
      <c r="P237" t="str">
        <f t="shared" si="7"/>
        <v>YES</v>
      </c>
    </row>
    <row r="238" spans="1:16" x14ac:dyDescent="0.3">
      <c r="A238">
        <v>237</v>
      </c>
      <c r="B238">
        <v>59</v>
      </c>
      <c r="C238">
        <v>84</v>
      </c>
      <c r="D238">
        <v>67</v>
      </c>
      <c r="E238">
        <v>4</v>
      </c>
      <c r="F238">
        <v>0</v>
      </c>
      <c r="G238">
        <v>88.05</v>
      </c>
      <c r="H238">
        <v>3</v>
      </c>
      <c r="I238" t="s">
        <v>64</v>
      </c>
      <c r="J238">
        <v>1</v>
      </c>
      <c r="K238" t="s">
        <v>63</v>
      </c>
      <c r="L238" t="s">
        <v>26</v>
      </c>
      <c r="M238" s="1">
        <v>42384</v>
      </c>
      <c r="N238" t="s">
        <v>103</v>
      </c>
      <c r="O238" t="str">
        <f t="shared" si="6"/>
        <v>NO</v>
      </c>
      <c r="P238" t="str">
        <f t="shared" si="7"/>
        <v>YES</v>
      </c>
    </row>
    <row r="239" spans="1:16" x14ac:dyDescent="0.3">
      <c r="A239">
        <v>238</v>
      </c>
      <c r="B239">
        <v>117</v>
      </c>
      <c r="C239">
        <v>174</v>
      </c>
      <c r="D239">
        <v>117</v>
      </c>
      <c r="E239">
        <v>7</v>
      </c>
      <c r="F239">
        <v>2</v>
      </c>
      <c r="G239">
        <v>100</v>
      </c>
      <c r="H239">
        <v>3</v>
      </c>
      <c r="I239" t="s">
        <v>0</v>
      </c>
      <c r="J239">
        <v>1</v>
      </c>
      <c r="K239" t="s">
        <v>63</v>
      </c>
      <c r="L239" t="s">
        <v>22</v>
      </c>
      <c r="M239" s="1">
        <v>42386</v>
      </c>
      <c r="N239" t="s">
        <v>103</v>
      </c>
      <c r="O239" t="str">
        <f t="shared" si="6"/>
        <v>YES</v>
      </c>
      <c r="P239" t="str">
        <f t="shared" si="7"/>
        <v>NO</v>
      </c>
    </row>
    <row r="240" spans="1:16" x14ac:dyDescent="0.3">
      <c r="A240">
        <v>239</v>
      </c>
      <c r="B240">
        <v>106</v>
      </c>
      <c r="C240">
        <v>131</v>
      </c>
      <c r="D240">
        <v>92</v>
      </c>
      <c r="E240">
        <v>11</v>
      </c>
      <c r="F240">
        <v>1</v>
      </c>
      <c r="G240">
        <v>115.21</v>
      </c>
      <c r="H240">
        <v>3</v>
      </c>
      <c r="I240" t="s">
        <v>0</v>
      </c>
      <c r="J240">
        <v>2</v>
      </c>
      <c r="K240" t="s">
        <v>63</v>
      </c>
      <c r="L240" t="s">
        <v>43</v>
      </c>
      <c r="M240" s="1">
        <v>42389</v>
      </c>
      <c r="N240" t="s">
        <v>103</v>
      </c>
      <c r="O240" t="str">
        <f t="shared" si="6"/>
        <v>YES</v>
      </c>
      <c r="P240" t="str">
        <f t="shared" si="7"/>
        <v>NO</v>
      </c>
    </row>
    <row r="241" spans="1:16" x14ac:dyDescent="0.3">
      <c r="A241">
        <v>240</v>
      </c>
      <c r="B241">
        <v>8</v>
      </c>
      <c r="C241">
        <v>11</v>
      </c>
      <c r="D241">
        <v>11</v>
      </c>
      <c r="E241">
        <v>1</v>
      </c>
      <c r="F241">
        <v>0</v>
      </c>
      <c r="G241">
        <v>72.72</v>
      </c>
      <c r="H241">
        <v>3</v>
      </c>
      <c r="I241" t="s">
        <v>0</v>
      </c>
      <c r="J241">
        <v>2</v>
      </c>
      <c r="K241" t="s">
        <v>63</v>
      </c>
      <c r="L241" t="s">
        <v>23</v>
      </c>
      <c r="M241" s="1">
        <v>42392</v>
      </c>
      <c r="N241" t="s">
        <v>103</v>
      </c>
      <c r="O241" t="str">
        <f t="shared" si="6"/>
        <v>NO</v>
      </c>
      <c r="P241" t="str">
        <f t="shared" si="7"/>
        <v>NO</v>
      </c>
    </row>
    <row r="242" spans="1:16" x14ac:dyDescent="0.3">
      <c r="A242">
        <v>241</v>
      </c>
      <c r="B242">
        <v>90</v>
      </c>
      <c r="C242">
        <v>71</v>
      </c>
      <c r="D242">
        <v>55</v>
      </c>
      <c r="E242">
        <v>9</v>
      </c>
      <c r="F242">
        <v>2</v>
      </c>
      <c r="G242">
        <v>163.63</v>
      </c>
      <c r="H242">
        <v>3</v>
      </c>
      <c r="I242" t="s">
        <v>66</v>
      </c>
      <c r="J242">
        <v>1</v>
      </c>
      <c r="K242" t="s">
        <v>63</v>
      </c>
      <c r="L242" t="s">
        <v>25</v>
      </c>
      <c r="M242" s="1">
        <v>42395</v>
      </c>
      <c r="N242" t="s">
        <v>104</v>
      </c>
      <c r="O242" t="str">
        <f t="shared" si="6"/>
        <v>NO</v>
      </c>
      <c r="P242" t="str">
        <f t="shared" si="7"/>
        <v>YES</v>
      </c>
    </row>
    <row r="243" spans="1:16" x14ac:dyDescent="0.3">
      <c r="A243">
        <v>242</v>
      </c>
      <c r="B243">
        <v>59</v>
      </c>
      <c r="C243">
        <v>44</v>
      </c>
      <c r="D243">
        <v>33</v>
      </c>
      <c r="E243">
        <v>7</v>
      </c>
      <c r="F243">
        <v>1</v>
      </c>
      <c r="G243">
        <v>178.78</v>
      </c>
      <c r="H243">
        <v>3</v>
      </c>
      <c r="I243" t="s">
        <v>66</v>
      </c>
      <c r="J243">
        <v>1</v>
      </c>
      <c r="K243" t="s">
        <v>63</v>
      </c>
      <c r="L243" t="s">
        <v>22</v>
      </c>
      <c r="M243" s="1">
        <v>42398</v>
      </c>
      <c r="N243" t="s">
        <v>104</v>
      </c>
      <c r="O243" t="str">
        <f t="shared" si="6"/>
        <v>NO</v>
      </c>
      <c r="P243" t="str">
        <f t="shared" si="7"/>
        <v>YES</v>
      </c>
    </row>
    <row r="244" spans="1:16" x14ac:dyDescent="0.3">
      <c r="A244">
        <v>243</v>
      </c>
      <c r="B244">
        <v>50</v>
      </c>
      <c r="C244">
        <v>49</v>
      </c>
      <c r="D244">
        <v>36</v>
      </c>
      <c r="E244">
        <v>2</v>
      </c>
      <c r="F244">
        <v>1</v>
      </c>
      <c r="G244">
        <v>138.88</v>
      </c>
      <c r="H244">
        <v>3</v>
      </c>
      <c r="I244" t="s">
        <v>7</v>
      </c>
      <c r="J244">
        <v>2</v>
      </c>
      <c r="K244" t="s">
        <v>63</v>
      </c>
      <c r="L244" t="s">
        <v>23</v>
      </c>
      <c r="M244" s="1">
        <v>42400</v>
      </c>
      <c r="N244" t="s">
        <v>104</v>
      </c>
      <c r="O244" t="str">
        <f t="shared" si="6"/>
        <v>NO</v>
      </c>
      <c r="P244" t="str">
        <f t="shared" si="7"/>
        <v>YES</v>
      </c>
    </row>
    <row r="245" spans="1:16" x14ac:dyDescent="0.3">
      <c r="A245">
        <v>244</v>
      </c>
      <c r="B245">
        <v>7</v>
      </c>
      <c r="C245">
        <v>13</v>
      </c>
      <c r="D245">
        <v>12</v>
      </c>
      <c r="E245">
        <v>1</v>
      </c>
      <c r="F245">
        <v>0</v>
      </c>
      <c r="G245">
        <v>58.33</v>
      </c>
      <c r="H245">
        <v>3</v>
      </c>
      <c r="I245" t="s">
        <v>0</v>
      </c>
      <c r="J245">
        <v>1</v>
      </c>
      <c r="K245" t="s">
        <v>73</v>
      </c>
      <c r="L245" t="s">
        <v>6</v>
      </c>
      <c r="M245" s="1">
        <v>42424</v>
      </c>
      <c r="N245" t="s">
        <v>104</v>
      </c>
      <c r="O245" t="str">
        <f t="shared" si="6"/>
        <v>NO</v>
      </c>
      <c r="P245" t="str">
        <f t="shared" si="7"/>
        <v>NO</v>
      </c>
    </row>
    <row r="246" spans="1:16" x14ac:dyDescent="0.3">
      <c r="A246">
        <v>245</v>
      </c>
      <c r="B246">
        <v>49</v>
      </c>
      <c r="C246">
        <v>71</v>
      </c>
      <c r="D246">
        <v>51</v>
      </c>
      <c r="E246">
        <v>7</v>
      </c>
      <c r="F246">
        <v>0</v>
      </c>
      <c r="G246">
        <v>96.07</v>
      </c>
      <c r="H246">
        <v>3</v>
      </c>
      <c r="I246" t="s">
        <v>4</v>
      </c>
      <c r="J246">
        <v>2</v>
      </c>
      <c r="K246" t="s">
        <v>84</v>
      </c>
      <c r="L246" t="s">
        <v>6</v>
      </c>
      <c r="M246" s="1">
        <v>42427</v>
      </c>
      <c r="N246" t="s">
        <v>104</v>
      </c>
      <c r="O246" t="str">
        <f t="shared" si="6"/>
        <v>NO</v>
      </c>
      <c r="P246" t="str">
        <f t="shared" si="7"/>
        <v>NO</v>
      </c>
    </row>
    <row r="247" spans="1:16" x14ac:dyDescent="0.3">
      <c r="A247">
        <v>246</v>
      </c>
      <c r="B247">
        <v>56</v>
      </c>
      <c r="C247">
        <v>85</v>
      </c>
      <c r="D247">
        <v>47</v>
      </c>
      <c r="E247">
        <v>7</v>
      </c>
      <c r="F247">
        <v>0</v>
      </c>
      <c r="G247">
        <v>119.14</v>
      </c>
      <c r="H247">
        <v>3</v>
      </c>
      <c r="I247" t="s">
        <v>66</v>
      </c>
      <c r="J247">
        <v>2</v>
      </c>
      <c r="K247" t="s">
        <v>74</v>
      </c>
      <c r="L247" t="s">
        <v>6</v>
      </c>
      <c r="M247" s="1">
        <v>42430</v>
      </c>
      <c r="N247" t="s">
        <v>104</v>
      </c>
      <c r="O247" t="str">
        <f t="shared" si="6"/>
        <v>NO</v>
      </c>
      <c r="P247" t="str">
        <f t="shared" si="7"/>
        <v>YES</v>
      </c>
    </row>
    <row r="248" spans="1:16" x14ac:dyDescent="0.3">
      <c r="A248">
        <v>247</v>
      </c>
      <c r="B248">
        <v>41</v>
      </c>
      <c r="C248">
        <v>62</v>
      </c>
      <c r="D248">
        <v>28</v>
      </c>
      <c r="E248">
        <v>5</v>
      </c>
      <c r="F248">
        <v>0</v>
      </c>
      <c r="G248">
        <v>146.41999999999999</v>
      </c>
      <c r="H248">
        <v>3</v>
      </c>
      <c r="I248" t="s">
        <v>66</v>
      </c>
      <c r="J248">
        <v>2</v>
      </c>
      <c r="K248" t="s">
        <v>73</v>
      </c>
      <c r="L248" t="s">
        <v>6</v>
      </c>
      <c r="M248" s="1">
        <v>42435</v>
      </c>
      <c r="N248" t="s">
        <v>104</v>
      </c>
      <c r="O248" t="str">
        <f t="shared" si="6"/>
        <v>NO</v>
      </c>
      <c r="P248" t="str">
        <f t="shared" si="7"/>
        <v>NO</v>
      </c>
    </row>
    <row r="249" spans="1:16" x14ac:dyDescent="0.3">
      <c r="A249">
        <v>248</v>
      </c>
      <c r="B249">
        <v>23</v>
      </c>
      <c r="C249">
        <v>15</v>
      </c>
      <c r="D249">
        <v>27</v>
      </c>
      <c r="E249">
        <v>2</v>
      </c>
      <c r="F249">
        <v>0</v>
      </c>
      <c r="G249">
        <v>85.18</v>
      </c>
      <c r="H249">
        <v>3</v>
      </c>
      <c r="I249" t="s">
        <v>0</v>
      </c>
      <c r="J249">
        <v>2</v>
      </c>
      <c r="K249" t="s">
        <v>65</v>
      </c>
      <c r="L249" t="s">
        <v>28</v>
      </c>
      <c r="M249" s="1">
        <v>42444</v>
      </c>
      <c r="N249" t="s">
        <v>104</v>
      </c>
      <c r="O249" t="str">
        <f t="shared" si="6"/>
        <v>NO</v>
      </c>
      <c r="P249" t="str">
        <f t="shared" si="7"/>
        <v>NO</v>
      </c>
    </row>
    <row r="250" spans="1:16" x14ac:dyDescent="0.3">
      <c r="A250">
        <v>249</v>
      </c>
      <c r="B250">
        <v>55</v>
      </c>
      <c r="C250">
        <v>66</v>
      </c>
      <c r="D250">
        <v>37</v>
      </c>
      <c r="E250">
        <v>7</v>
      </c>
      <c r="F250">
        <v>1</v>
      </c>
      <c r="G250">
        <v>148.63999999999999</v>
      </c>
      <c r="H250">
        <v>3</v>
      </c>
      <c r="I250" t="s">
        <v>66</v>
      </c>
      <c r="J250">
        <v>2</v>
      </c>
      <c r="K250" t="s">
        <v>84</v>
      </c>
      <c r="L250" t="s">
        <v>21</v>
      </c>
      <c r="M250" s="1">
        <v>42448</v>
      </c>
      <c r="N250" t="s">
        <v>104</v>
      </c>
      <c r="O250" t="str">
        <f t="shared" si="6"/>
        <v>NO</v>
      </c>
      <c r="P250" t="str">
        <f t="shared" si="7"/>
        <v>YES</v>
      </c>
    </row>
    <row r="251" spans="1:16" x14ac:dyDescent="0.3">
      <c r="A251">
        <v>250</v>
      </c>
      <c r="B251">
        <v>24</v>
      </c>
      <c r="C251">
        <v>37</v>
      </c>
      <c r="D251">
        <v>24</v>
      </c>
      <c r="E251">
        <v>0</v>
      </c>
      <c r="F251">
        <v>1</v>
      </c>
      <c r="G251">
        <v>100</v>
      </c>
      <c r="H251">
        <v>3</v>
      </c>
      <c r="I251" t="s">
        <v>7</v>
      </c>
      <c r="J251">
        <v>1</v>
      </c>
      <c r="K251" t="s">
        <v>73</v>
      </c>
      <c r="L251" t="s">
        <v>12</v>
      </c>
      <c r="M251" s="1">
        <v>42452</v>
      </c>
      <c r="N251" t="s">
        <v>104</v>
      </c>
      <c r="O251" t="str">
        <f t="shared" si="6"/>
        <v>NO</v>
      </c>
      <c r="P251" t="str">
        <f t="shared" si="7"/>
        <v>NO</v>
      </c>
    </row>
    <row r="252" spans="1:16" x14ac:dyDescent="0.3">
      <c r="A252">
        <v>251</v>
      </c>
      <c r="B252">
        <v>82</v>
      </c>
      <c r="C252">
        <v>78</v>
      </c>
      <c r="D252">
        <v>51</v>
      </c>
      <c r="E252">
        <v>9</v>
      </c>
      <c r="F252">
        <v>2</v>
      </c>
      <c r="G252">
        <v>160.78</v>
      </c>
      <c r="H252">
        <v>3</v>
      </c>
      <c r="I252" t="s">
        <v>66</v>
      </c>
      <c r="J252">
        <v>2</v>
      </c>
      <c r="K252" t="s">
        <v>63</v>
      </c>
      <c r="L252" t="s">
        <v>5</v>
      </c>
      <c r="M252" s="1">
        <v>42456</v>
      </c>
      <c r="N252" t="s">
        <v>104</v>
      </c>
      <c r="O252" t="str">
        <f t="shared" si="6"/>
        <v>NO</v>
      </c>
      <c r="P252" t="str">
        <f t="shared" si="7"/>
        <v>YES</v>
      </c>
    </row>
    <row r="253" spans="1:16" x14ac:dyDescent="0.3">
      <c r="A253">
        <v>252</v>
      </c>
      <c r="B253">
        <v>89</v>
      </c>
      <c r="C253">
        <v>63</v>
      </c>
      <c r="D253">
        <v>47</v>
      </c>
      <c r="E253">
        <v>11</v>
      </c>
      <c r="F253">
        <v>1</v>
      </c>
      <c r="G253">
        <v>189.36</v>
      </c>
      <c r="H253">
        <v>3</v>
      </c>
      <c r="I253" t="s">
        <v>66</v>
      </c>
      <c r="J253">
        <v>1</v>
      </c>
      <c r="K253" t="s">
        <v>60</v>
      </c>
      <c r="L253" t="s">
        <v>20</v>
      </c>
      <c r="M253" s="1">
        <v>42460</v>
      </c>
      <c r="N253" t="s">
        <v>104</v>
      </c>
      <c r="O253" t="str">
        <f t="shared" si="6"/>
        <v>NO</v>
      </c>
      <c r="P253" t="str">
        <f t="shared" si="7"/>
        <v>YES</v>
      </c>
    </row>
    <row r="254" spans="1:16" x14ac:dyDescent="0.3">
      <c r="A254">
        <v>253</v>
      </c>
      <c r="B254">
        <v>200</v>
      </c>
      <c r="C254">
        <v>375</v>
      </c>
      <c r="D254">
        <v>283</v>
      </c>
      <c r="E254">
        <v>24</v>
      </c>
      <c r="F254">
        <v>0</v>
      </c>
      <c r="G254">
        <v>70.67</v>
      </c>
      <c r="H254">
        <v>4</v>
      </c>
      <c r="I254" t="s">
        <v>7</v>
      </c>
      <c r="J254">
        <v>1</v>
      </c>
      <c r="K254" t="s">
        <v>60</v>
      </c>
      <c r="L254" t="s">
        <v>57</v>
      </c>
      <c r="M254" s="1">
        <v>42572</v>
      </c>
      <c r="N254" t="s">
        <v>102</v>
      </c>
      <c r="O254" t="str">
        <f t="shared" si="6"/>
        <v>YES</v>
      </c>
      <c r="P254" t="str">
        <f t="shared" si="7"/>
        <v>NO</v>
      </c>
    </row>
    <row r="255" spans="1:16" x14ac:dyDescent="0.3">
      <c r="A255">
        <v>254</v>
      </c>
      <c r="B255">
        <v>44</v>
      </c>
      <c r="C255">
        <v>144</v>
      </c>
      <c r="D255">
        <v>90</v>
      </c>
      <c r="E255">
        <v>4</v>
      </c>
      <c r="F255">
        <v>1</v>
      </c>
      <c r="G255">
        <v>48.88</v>
      </c>
      <c r="H255">
        <v>4</v>
      </c>
      <c r="I255" t="s">
        <v>0</v>
      </c>
      <c r="J255">
        <v>2</v>
      </c>
      <c r="K255" t="s">
        <v>60</v>
      </c>
      <c r="L255" t="s">
        <v>61</v>
      </c>
      <c r="M255" s="1">
        <v>42581</v>
      </c>
      <c r="N255" t="s">
        <v>102</v>
      </c>
      <c r="O255" t="str">
        <f t="shared" si="6"/>
        <v>NO</v>
      </c>
      <c r="P255" t="str">
        <f t="shared" si="7"/>
        <v>NO</v>
      </c>
    </row>
    <row r="256" spans="1:16" x14ac:dyDescent="0.3">
      <c r="A256">
        <v>255</v>
      </c>
      <c r="B256">
        <v>3</v>
      </c>
      <c r="C256">
        <v>17</v>
      </c>
      <c r="D256">
        <v>8</v>
      </c>
      <c r="E256">
        <v>0</v>
      </c>
      <c r="F256">
        <v>0</v>
      </c>
      <c r="G256">
        <v>37.5</v>
      </c>
      <c r="H256">
        <v>3</v>
      </c>
      <c r="I256" t="s">
        <v>0</v>
      </c>
      <c r="J256">
        <v>1</v>
      </c>
      <c r="K256" t="s">
        <v>60</v>
      </c>
      <c r="L256" t="s">
        <v>58</v>
      </c>
      <c r="M256" s="1">
        <v>42591</v>
      </c>
      <c r="N256" t="s">
        <v>102</v>
      </c>
      <c r="O256" t="str">
        <f t="shared" si="6"/>
        <v>NO</v>
      </c>
      <c r="P256" t="str">
        <f t="shared" si="7"/>
        <v>NO</v>
      </c>
    </row>
    <row r="257" spans="1:16" x14ac:dyDescent="0.3">
      <c r="A257">
        <v>256</v>
      </c>
      <c r="B257">
        <v>4</v>
      </c>
      <c r="C257">
        <v>21</v>
      </c>
      <c r="D257">
        <v>17</v>
      </c>
      <c r="E257">
        <v>0</v>
      </c>
      <c r="F257">
        <v>0</v>
      </c>
      <c r="G257">
        <v>23.52</v>
      </c>
      <c r="H257">
        <v>3</v>
      </c>
      <c r="I257" t="s">
        <v>4</v>
      </c>
      <c r="J257">
        <v>3</v>
      </c>
      <c r="K257" t="s">
        <v>60</v>
      </c>
      <c r="L257" t="s">
        <v>58</v>
      </c>
      <c r="M257" s="1">
        <v>42591</v>
      </c>
      <c r="N257" t="s">
        <v>102</v>
      </c>
      <c r="O257" t="str">
        <f t="shared" si="6"/>
        <v>NO</v>
      </c>
      <c r="P257" t="str">
        <f t="shared" si="7"/>
        <v>NO</v>
      </c>
    </row>
    <row r="258" spans="1:16" x14ac:dyDescent="0.3">
      <c r="A258">
        <v>257</v>
      </c>
      <c r="B258">
        <v>16</v>
      </c>
      <c r="C258">
        <v>8</v>
      </c>
      <c r="D258">
        <v>9</v>
      </c>
      <c r="E258">
        <v>3</v>
      </c>
      <c r="F258">
        <v>0</v>
      </c>
      <c r="G258">
        <v>177.77</v>
      </c>
      <c r="H258">
        <v>3</v>
      </c>
      <c r="I258" t="s">
        <v>0</v>
      </c>
      <c r="J258">
        <v>2</v>
      </c>
      <c r="K258" t="s">
        <v>60</v>
      </c>
      <c r="L258" t="s">
        <v>86</v>
      </c>
      <c r="M258" s="1">
        <v>42609</v>
      </c>
      <c r="N258" t="s">
        <v>104</v>
      </c>
      <c r="O258" t="str">
        <f t="shared" si="6"/>
        <v>NO</v>
      </c>
      <c r="P258" t="str">
        <f t="shared" si="7"/>
        <v>NO</v>
      </c>
    </row>
    <row r="259" spans="1:16" x14ac:dyDescent="0.3">
      <c r="A259">
        <v>258</v>
      </c>
      <c r="B259">
        <v>9</v>
      </c>
      <c r="C259">
        <v>12</v>
      </c>
      <c r="D259">
        <v>10</v>
      </c>
      <c r="E259">
        <v>2</v>
      </c>
      <c r="F259">
        <v>0</v>
      </c>
      <c r="G259">
        <v>90</v>
      </c>
      <c r="H259">
        <v>4</v>
      </c>
      <c r="I259" t="s">
        <v>0</v>
      </c>
      <c r="J259">
        <v>1</v>
      </c>
      <c r="K259" t="s">
        <v>65</v>
      </c>
      <c r="L259" t="s">
        <v>45</v>
      </c>
      <c r="M259" s="1">
        <v>42635</v>
      </c>
      <c r="N259" t="s">
        <v>102</v>
      </c>
      <c r="O259" t="str">
        <f t="shared" ref="O259:O322" si="8">IF(B259&gt;100,"YES","NO")</f>
        <v>NO</v>
      </c>
      <c r="P259" t="str">
        <f t="shared" ref="P259:P322" si="9">IF(AND(B259&gt;=50,B259&lt;100),"YES","NO")</f>
        <v>NO</v>
      </c>
    </row>
    <row r="260" spans="1:16" x14ac:dyDescent="0.3">
      <c r="A260">
        <v>259</v>
      </c>
      <c r="B260">
        <v>18</v>
      </c>
      <c r="C260">
        <v>45</v>
      </c>
      <c r="D260">
        <v>40</v>
      </c>
      <c r="E260">
        <v>3</v>
      </c>
      <c r="F260">
        <v>0</v>
      </c>
      <c r="G260">
        <v>45</v>
      </c>
      <c r="H260">
        <v>4</v>
      </c>
      <c r="I260" t="s">
        <v>0</v>
      </c>
      <c r="J260">
        <v>3</v>
      </c>
      <c r="K260" t="s">
        <v>65</v>
      </c>
      <c r="L260" t="s">
        <v>45</v>
      </c>
      <c r="M260" s="1">
        <v>42635</v>
      </c>
      <c r="N260" t="s">
        <v>102</v>
      </c>
      <c r="O260" t="str">
        <f t="shared" si="8"/>
        <v>NO</v>
      </c>
      <c r="P260" t="str">
        <f t="shared" si="9"/>
        <v>NO</v>
      </c>
    </row>
    <row r="261" spans="1:16" x14ac:dyDescent="0.3">
      <c r="A261">
        <v>260</v>
      </c>
      <c r="B261">
        <v>45</v>
      </c>
      <c r="C261">
        <v>82</v>
      </c>
      <c r="D261">
        <v>65</v>
      </c>
      <c r="E261">
        <v>7</v>
      </c>
      <c r="F261">
        <v>0</v>
      </c>
      <c r="G261">
        <v>69.23</v>
      </c>
      <c r="H261">
        <v>4</v>
      </c>
      <c r="I261" t="s">
        <v>4</v>
      </c>
      <c r="J261">
        <v>3</v>
      </c>
      <c r="K261" t="s">
        <v>65</v>
      </c>
      <c r="L261" t="s">
        <v>21</v>
      </c>
      <c r="M261" s="1">
        <v>42643</v>
      </c>
      <c r="N261" t="s">
        <v>102</v>
      </c>
      <c r="O261" t="str">
        <f t="shared" si="8"/>
        <v>NO</v>
      </c>
      <c r="P261" t="str">
        <f t="shared" si="9"/>
        <v>NO</v>
      </c>
    </row>
    <row r="262" spans="1:16" x14ac:dyDescent="0.3">
      <c r="A262">
        <v>261</v>
      </c>
      <c r="B262">
        <v>211</v>
      </c>
      <c r="C262">
        <v>536</v>
      </c>
      <c r="D262">
        <v>366</v>
      </c>
      <c r="E262">
        <v>20</v>
      </c>
      <c r="F262">
        <v>0</v>
      </c>
      <c r="G262">
        <v>57.65</v>
      </c>
      <c r="H262">
        <v>4</v>
      </c>
      <c r="I262" t="s">
        <v>4</v>
      </c>
      <c r="J262">
        <v>1</v>
      </c>
      <c r="K262" t="s">
        <v>65</v>
      </c>
      <c r="L262" t="s">
        <v>46</v>
      </c>
      <c r="M262" s="1">
        <v>42651</v>
      </c>
      <c r="N262" t="s">
        <v>102</v>
      </c>
      <c r="O262" t="str">
        <f t="shared" si="8"/>
        <v>YES</v>
      </c>
      <c r="P262" t="str">
        <f t="shared" si="9"/>
        <v>NO</v>
      </c>
    </row>
    <row r="263" spans="1:16" x14ac:dyDescent="0.3">
      <c r="A263">
        <v>262</v>
      </c>
      <c r="B263">
        <v>85</v>
      </c>
      <c r="C263">
        <v>109</v>
      </c>
      <c r="D263">
        <v>81</v>
      </c>
      <c r="E263">
        <v>9</v>
      </c>
      <c r="F263">
        <v>1</v>
      </c>
      <c r="G263">
        <v>104.93</v>
      </c>
      <c r="H263">
        <v>3</v>
      </c>
      <c r="I263" t="s">
        <v>66</v>
      </c>
      <c r="J263">
        <v>2</v>
      </c>
      <c r="K263" t="s">
        <v>65</v>
      </c>
      <c r="L263" t="s">
        <v>34</v>
      </c>
      <c r="M263" s="1">
        <v>42659</v>
      </c>
      <c r="N263" t="s">
        <v>103</v>
      </c>
      <c r="O263" t="str">
        <f t="shared" si="8"/>
        <v>NO</v>
      </c>
      <c r="P263" t="str">
        <f t="shared" si="9"/>
        <v>YES</v>
      </c>
    </row>
    <row r="264" spans="1:16" x14ac:dyDescent="0.3">
      <c r="A264">
        <v>263</v>
      </c>
      <c r="B264">
        <v>9</v>
      </c>
      <c r="C264">
        <v>18</v>
      </c>
      <c r="D264">
        <v>13</v>
      </c>
      <c r="E264">
        <v>1</v>
      </c>
      <c r="F264">
        <v>0</v>
      </c>
      <c r="G264">
        <v>69.23</v>
      </c>
      <c r="H264">
        <v>3</v>
      </c>
      <c r="I264" t="s">
        <v>0</v>
      </c>
      <c r="J264">
        <v>2</v>
      </c>
      <c r="K264" t="s">
        <v>65</v>
      </c>
      <c r="L264" t="s">
        <v>13</v>
      </c>
      <c r="M264" s="1">
        <v>42663</v>
      </c>
      <c r="N264" t="s">
        <v>103</v>
      </c>
      <c r="O264" t="str">
        <f t="shared" si="8"/>
        <v>NO</v>
      </c>
      <c r="P264" t="str">
        <f t="shared" si="9"/>
        <v>NO</v>
      </c>
    </row>
    <row r="265" spans="1:16" x14ac:dyDescent="0.3">
      <c r="A265">
        <v>264</v>
      </c>
      <c r="B265">
        <v>154</v>
      </c>
      <c r="C265">
        <v>202</v>
      </c>
      <c r="D265">
        <v>134</v>
      </c>
      <c r="E265">
        <v>16</v>
      </c>
      <c r="F265">
        <v>1</v>
      </c>
      <c r="G265">
        <v>114.92</v>
      </c>
      <c r="H265">
        <v>3</v>
      </c>
      <c r="I265" t="s">
        <v>66</v>
      </c>
      <c r="J265">
        <v>2</v>
      </c>
      <c r="K265" t="s">
        <v>65</v>
      </c>
      <c r="L265" t="s">
        <v>5</v>
      </c>
      <c r="M265" s="1">
        <v>42666</v>
      </c>
      <c r="N265" t="s">
        <v>103</v>
      </c>
      <c r="O265" t="str">
        <f t="shared" si="8"/>
        <v>YES</v>
      </c>
      <c r="P265" t="str">
        <f t="shared" si="9"/>
        <v>NO</v>
      </c>
    </row>
    <row r="266" spans="1:16" x14ac:dyDescent="0.3">
      <c r="A266">
        <v>265</v>
      </c>
      <c r="B266">
        <v>45</v>
      </c>
      <c r="C266">
        <v>64</v>
      </c>
      <c r="D266">
        <v>51</v>
      </c>
      <c r="E266">
        <v>2</v>
      </c>
      <c r="F266">
        <v>1</v>
      </c>
      <c r="G266">
        <v>88.23</v>
      </c>
      <c r="H266">
        <v>3</v>
      </c>
      <c r="I266" t="s">
        <v>0</v>
      </c>
      <c r="J266">
        <v>2</v>
      </c>
      <c r="K266" t="s">
        <v>65</v>
      </c>
      <c r="L266" t="s">
        <v>33</v>
      </c>
      <c r="M266" s="1">
        <v>42669</v>
      </c>
      <c r="N266" t="s">
        <v>103</v>
      </c>
      <c r="O266" t="str">
        <f t="shared" si="8"/>
        <v>NO</v>
      </c>
      <c r="P266" t="str">
        <f t="shared" si="9"/>
        <v>NO</v>
      </c>
    </row>
    <row r="267" spans="1:16" x14ac:dyDescent="0.3">
      <c r="A267">
        <v>266</v>
      </c>
      <c r="B267">
        <v>65</v>
      </c>
      <c r="C267">
        <v>152</v>
      </c>
      <c r="D267">
        <v>76</v>
      </c>
      <c r="E267">
        <v>2</v>
      </c>
      <c r="F267">
        <v>1</v>
      </c>
      <c r="G267">
        <v>85.52</v>
      </c>
      <c r="H267">
        <v>3</v>
      </c>
      <c r="I267" t="s">
        <v>0</v>
      </c>
      <c r="J267">
        <v>1</v>
      </c>
      <c r="K267" t="s">
        <v>65</v>
      </c>
      <c r="L267" t="s">
        <v>11</v>
      </c>
      <c r="M267" s="1">
        <v>42672</v>
      </c>
      <c r="N267" t="s">
        <v>103</v>
      </c>
      <c r="O267" t="str">
        <f t="shared" si="8"/>
        <v>NO</v>
      </c>
      <c r="P267" t="str">
        <f t="shared" si="9"/>
        <v>YES</v>
      </c>
    </row>
    <row r="268" spans="1:16" x14ac:dyDescent="0.3">
      <c r="A268">
        <v>267</v>
      </c>
      <c r="B268">
        <v>40</v>
      </c>
      <c r="C268">
        <v>135</v>
      </c>
      <c r="D268">
        <v>95</v>
      </c>
      <c r="E268">
        <v>5</v>
      </c>
      <c r="F268">
        <v>0</v>
      </c>
      <c r="G268">
        <v>42.1</v>
      </c>
      <c r="H268">
        <v>4</v>
      </c>
      <c r="I268" t="s">
        <v>79</v>
      </c>
      <c r="J268">
        <v>2</v>
      </c>
      <c r="K268" t="s">
        <v>67</v>
      </c>
      <c r="L268" t="s">
        <v>31</v>
      </c>
      <c r="M268" s="1">
        <v>42683</v>
      </c>
      <c r="N268" t="s">
        <v>102</v>
      </c>
      <c r="O268" t="str">
        <f t="shared" si="8"/>
        <v>NO</v>
      </c>
      <c r="P268" t="str">
        <f t="shared" si="9"/>
        <v>NO</v>
      </c>
    </row>
    <row r="269" spans="1:16" x14ac:dyDescent="0.3">
      <c r="A269">
        <v>268</v>
      </c>
      <c r="B269">
        <v>49</v>
      </c>
      <c r="C269">
        <v>129</v>
      </c>
      <c r="D269">
        <v>98</v>
      </c>
      <c r="E269">
        <v>6</v>
      </c>
      <c r="F269">
        <v>0</v>
      </c>
      <c r="G269">
        <v>50</v>
      </c>
      <c r="H269">
        <v>4</v>
      </c>
      <c r="I269" t="s">
        <v>66</v>
      </c>
      <c r="J269">
        <v>4</v>
      </c>
      <c r="K269" t="s">
        <v>67</v>
      </c>
      <c r="L269" t="s">
        <v>31</v>
      </c>
      <c r="M269" s="1">
        <v>42683</v>
      </c>
      <c r="N269" t="s">
        <v>102</v>
      </c>
      <c r="O269" t="str">
        <f t="shared" si="8"/>
        <v>NO</v>
      </c>
      <c r="P269" t="str">
        <f t="shared" si="9"/>
        <v>NO</v>
      </c>
    </row>
    <row r="270" spans="1:16" x14ac:dyDescent="0.3">
      <c r="A270">
        <v>269</v>
      </c>
      <c r="B270">
        <v>167</v>
      </c>
      <c r="C270">
        <v>401</v>
      </c>
      <c r="D270">
        <v>267</v>
      </c>
      <c r="E270">
        <v>18</v>
      </c>
      <c r="F270">
        <v>0</v>
      </c>
      <c r="G270">
        <v>62.54</v>
      </c>
      <c r="H270">
        <v>4</v>
      </c>
      <c r="I270" t="s">
        <v>0</v>
      </c>
      <c r="J270">
        <v>1</v>
      </c>
      <c r="K270" t="s">
        <v>67</v>
      </c>
      <c r="L270" t="s">
        <v>11</v>
      </c>
      <c r="M270" s="1">
        <v>42691</v>
      </c>
      <c r="N270" t="s">
        <v>102</v>
      </c>
      <c r="O270" t="str">
        <f t="shared" si="8"/>
        <v>YES</v>
      </c>
      <c r="P270" t="str">
        <f t="shared" si="9"/>
        <v>NO</v>
      </c>
    </row>
    <row r="271" spans="1:16" x14ac:dyDescent="0.3">
      <c r="A271">
        <v>270</v>
      </c>
      <c r="B271">
        <v>81</v>
      </c>
      <c r="C271">
        <v>172</v>
      </c>
      <c r="D271">
        <v>109</v>
      </c>
      <c r="E271">
        <v>8</v>
      </c>
      <c r="F271">
        <v>0</v>
      </c>
      <c r="G271">
        <v>74.31</v>
      </c>
      <c r="H271">
        <v>4</v>
      </c>
      <c r="I271" t="s">
        <v>0</v>
      </c>
      <c r="J271">
        <v>3</v>
      </c>
      <c r="K271" t="s">
        <v>67</v>
      </c>
      <c r="L271" t="s">
        <v>11</v>
      </c>
      <c r="M271" s="1">
        <v>42691</v>
      </c>
      <c r="N271" t="s">
        <v>102</v>
      </c>
      <c r="O271" t="str">
        <f t="shared" si="8"/>
        <v>NO</v>
      </c>
      <c r="P271" t="str">
        <f t="shared" si="9"/>
        <v>YES</v>
      </c>
    </row>
    <row r="272" spans="1:16" x14ac:dyDescent="0.3">
      <c r="A272">
        <v>271</v>
      </c>
      <c r="B272">
        <v>62</v>
      </c>
      <c r="C272">
        <v>161</v>
      </c>
      <c r="D272">
        <v>127</v>
      </c>
      <c r="E272">
        <v>9</v>
      </c>
      <c r="F272">
        <v>0</v>
      </c>
      <c r="G272">
        <v>48.81</v>
      </c>
      <c r="H272">
        <v>4</v>
      </c>
      <c r="I272" t="s">
        <v>0</v>
      </c>
      <c r="J272">
        <v>2</v>
      </c>
      <c r="K272" t="s">
        <v>67</v>
      </c>
      <c r="L272" t="s">
        <v>5</v>
      </c>
      <c r="M272" s="1">
        <v>42700</v>
      </c>
      <c r="N272" t="s">
        <v>102</v>
      </c>
      <c r="O272" t="str">
        <f t="shared" si="8"/>
        <v>NO</v>
      </c>
      <c r="P272" t="str">
        <f t="shared" si="9"/>
        <v>YES</v>
      </c>
    </row>
    <row r="273" spans="1:16" x14ac:dyDescent="0.3">
      <c r="A273">
        <v>272</v>
      </c>
      <c r="B273">
        <v>6</v>
      </c>
      <c r="C273">
        <v>11</v>
      </c>
      <c r="D273">
        <v>11</v>
      </c>
      <c r="E273">
        <v>0</v>
      </c>
      <c r="F273">
        <v>0</v>
      </c>
      <c r="G273">
        <v>54.54</v>
      </c>
      <c r="H273">
        <v>4</v>
      </c>
      <c r="I273" t="s">
        <v>66</v>
      </c>
      <c r="J273">
        <v>4</v>
      </c>
      <c r="K273" t="s">
        <v>67</v>
      </c>
      <c r="L273" t="s">
        <v>5</v>
      </c>
      <c r="M273" s="1">
        <v>42700</v>
      </c>
      <c r="N273" t="s">
        <v>102</v>
      </c>
      <c r="O273" t="str">
        <f t="shared" si="8"/>
        <v>NO</v>
      </c>
      <c r="P273" t="str">
        <f t="shared" si="9"/>
        <v>NO</v>
      </c>
    </row>
    <row r="274" spans="1:16" x14ac:dyDescent="0.3">
      <c r="A274">
        <v>273</v>
      </c>
      <c r="B274">
        <v>235</v>
      </c>
      <c r="C274">
        <v>515</v>
      </c>
      <c r="D274">
        <v>340</v>
      </c>
      <c r="E274">
        <v>25</v>
      </c>
      <c r="F274">
        <v>1</v>
      </c>
      <c r="G274">
        <v>69.11</v>
      </c>
      <c r="H274">
        <v>4</v>
      </c>
      <c r="I274" t="s">
        <v>0</v>
      </c>
      <c r="J274">
        <v>2</v>
      </c>
      <c r="K274" t="s">
        <v>67</v>
      </c>
      <c r="L274" t="s">
        <v>20</v>
      </c>
      <c r="M274" s="1">
        <v>42712</v>
      </c>
      <c r="N274" t="s">
        <v>102</v>
      </c>
      <c r="O274" t="str">
        <f t="shared" si="8"/>
        <v>YES</v>
      </c>
      <c r="P274" t="str">
        <f t="shared" si="9"/>
        <v>NO</v>
      </c>
    </row>
    <row r="275" spans="1:16" x14ac:dyDescent="0.3">
      <c r="A275">
        <v>274</v>
      </c>
      <c r="B275">
        <v>15</v>
      </c>
      <c r="C275">
        <v>44</v>
      </c>
      <c r="D275">
        <v>29</v>
      </c>
      <c r="E275">
        <v>1</v>
      </c>
      <c r="F275">
        <v>0</v>
      </c>
      <c r="G275">
        <v>51.72</v>
      </c>
      <c r="H275">
        <v>4</v>
      </c>
      <c r="I275" t="s">
        <v>0</v>
      </c>
      <c r="J275">
        <v>2</v>
      </c>
      <c r="K275" t="s">
        <v>67</v>
      </c>
      <c r="L275" t="s">
        <v>30</v>
      </c>
      <c r="M275" s="1">
        <v>42720</v>
      </c>
      <c r="N275" t="s">
        <v>102</v>
      </c>
      <c r="O275" t="str">
        <f t="shared" si="8"/>
        <v>NO</v>
      </c>
      <c r="P275" t="str">
        <f t="shared" si="9"/>
        <v>NO</v>
      </c>
    </row>
    <row r="276" spans="1:16" x14ac:dyDescent="0.3">
      <c r="A276">
        <v>275</v>
      </c>
      <c r="B276">
        <v>122</v>
      </c>
      <c r="C276">
        <v>147</v>
      </c>
      <c r="D276">
        <v>105</v>
      </c>
      <c r="E276">
        <v>8</v>
      </c>
      <c r="F276">
        <v>5</v>
      </c>
      <c r="G276">
        <v>116.19</v>
      </c>
      <c r="H276">
        <v>3</v>
      </c>
      <c r="I276" t="s">
        <v>0</v>
      </c>
      <c r="J276">
        <v>2</v>
      </c>
      <c r="K276" t="s">
        <v>67</v>
      </c>
      <c r="L276" t="s">
        <v>29</v>
      </c>
      <c r="M276" s="1">
        <v>42750</v>
      </c>
      <c r="N276" t="s">
        <v>103</v>
      </c>
      <c r="O276" t="str">
        <f t="shared" si="8"/>
        <v>YES</v>
      </c>
      <c r="P276" t="str">
        <f t="shared" si="9"/>
        <v>NO</v>
      </c>
    </row>
    <row r="277" spans="1:16" x14ac:dyDescent="0.3">
      <c r="A277">
        <v>276</v>
      </c>
      <c r="B277">
        <v>8</v>
      </c>
      <c r="C277">
        <v>6</v>
      </c>
      <c r="D277">
        <v>5</v>
      </c>
      <c r="E277">
        <v>2</v>
      </c>
      <c r="F277">
        <v>0</v>
      </c>
      <c r="G277">
        <v>160</v>
      </c>
      <c r="H277">
        <v>3</v>
      </c>
      <c r="I277" t="s">
        <v>0</v>
      </c>
      <c r="J277">
        <v>1</v>
      </c>
      <c r="K277" t="s">
        <v>67</v>
      </c>
      <c r="L277" t="s">
        <v>44</v>
      </c>
      <c r="M277" s="1">
        <v>42754</v>
      </c>
      <c r="N277" t="s">
        <v>103</v>
      </c>
      <c r="O277" t="str">
        <f t="shared" si="8"/>
        <v>NO</v>
      </c>
      <c r="P277" t="str">
        <f t="shared" si="9"/>
        <v>NO</v>
      </c>
    </row>
    <row r="278" spans="1:16" x14ac:dyDescent="0.3">
      <c r="A278">
        <v>277</v>
      </c>
      <c r="B278">
        <v>55</v>
      </c>
      <c r="C278">
        <v>81</v>
      </c>
      <c r="D278">
        <v>63</v>
      </c>
      <c r="E278">
        <v>8</v>
      </c>
      <c r="F278">
        <v>0</v>
      </c>
      <c r="G278">
        <v>87.3</v>
      </c>
      <c r="H278">
        <v>3</v>
      </c>
      <c r="I278" t="s">
        <v>0</v>
      </c>
      <c r="J278">
        <v>2</v>
      </c>
      <c r="K278" t="s">
        <v>67</v>
      </c>
      <c r="L278" t="s">
        <v>21</v>
      </c>
      <c r="M278" s="1">
        <v>42757</v>
      </c>
      <c r="N278" t="s">
        <v>103</v>
      </c>
      <c r="O278" t="str">
        <f t="shared" si="8"/>
        <v>NO</v>
      </c>
      <c r="P278" t="str">
        <f t="shared" si="9"/>
        <v>YES</v>
      </c>
    </row>
    <row r="279" spans="1:16" x14ac:dyDescent="0.3">
      <c r="A279">
        <v>278</v>
      </c>
      <c r="B279">
        <v>29</v>
      </c>
      <c r="C279">
        <v>34</v>
      </c>
      <c r="D279">
        <v>26</v>
      </c>
      <c r="E279">
        <v>4</v>
      </c>
      <c r="F279">
        <v>0</v>
      </c>
      <c r="G279">
        <v>111.53</v>
      </c>
      <c r="H279">
        <v>1</v>
      </c>
      <c r="I279" t="s">
        <v>0</v>
      </c>
      <c r="J279">
        <v>1</v>
      </c>
      <c r="K279" t="s">
        <v>67</v>
      </c>
      <c r="L279" t="s">
        <v>45</v>
      </c>
      <c r="M279" s="1">
        <v>42761</v>
      </c>
      <c r="N279" t="s">
        <v>104</v>
      </c>
      <c r="O279" t="str">
        <f t="shared" si="8"/>
        <v>NO</v>
      </c>
      <c r="P279" t="str">
        <f t="shared" si="9"/>
        <v>NO</v>
      </c>
    </row>
    <row r="280" spans="1:16" x14ac:dyDescent="0.3">
      <c r="A280">
        <v>279</v>
      </c>
      <c r="B280">
        <v>21</v>
      </c>
      <c r="C280">
        <v>17</v>
      </c>
      <c r="D280">
        <v>15</v>
      </c>
      <c r="E280">
        <v>2</v>
      </c>
      <c r="F280">
        <v>1</v>
      </c>
      <c r="G280">
        <v>140</v>
      </c>
      <c r="H280">
        <v>1</v>
      </c>
      <c r="I280" t="s">
        <v>0</v>
      </c>
      <c r="J280">
        <v>1</v>
      </c>
      <c r="K280" t="s">
        <v>67</v>
      </c>
      <c r="L280" t="s">
        <v>28</v>
      </c>
      <c r="M280" s="1">
        <v>42764</v>
      </c>
      <c r="N280" t="s">
        <v>104</v>
      </c>
      <c r="O280" t="str">
        <f t="shared" si="8"/>
        <v>NO</v>
      </c>
      <c r="P280" t="str">
        <f t="shared" si="9"/>
        <v>NO</v>
      </c>
    </row>
    <row r="281" spans="1:16" x14ac:dyDescent="0.3">
      <c r="A281">
        <v>280</v>
      </c>
      <c r="B281">
        <v>2</v>
      </c>
      <c r="C281">
        <v>6</v>
      </c>
      <c r="D281">
        <v>4</v>
      </c>
      <c r="E281">
        <v>0</v>
      </c>
      <c r="F281">
        <v>0</v>
      </c>
      <c r="G281">
        <v>50</v>
      </c>
      <c r="H281">
        <v>1</v>
      </c>
      <c r="I281" t="s">
        <v>64</v>
      </c>
      <c r="J281">
        <v>1</v>
      </c>
      <c r="K281" t="s">
        <v>67</v>
      </c>
      <c r="L281" t="s">
        <v>12</v>
      </c>
      <c r="M281" s="1">
        <v>42767</v>
      </c>
      <c r="N281" t="s">
        <v>104</v>
      </c>
      <c r="O281" t="str">
        <f t="shared" si="8"/>
        <v>NO</v>
      </c>
      <c r="P281" t="str">
        <f t="shared" si="9"/>
        <v>NO</v>
      </c>
    </row>
    <row r="282" spans="1:16" x14ac:dyDescent="0.3">
      <c r="A282">
        <v>281</v>
      </c>
      <c r="B282">
        <v>204</v>
      </c>
      <c r="C282">
        <v>295</v>
      </c>
      <c r="D282">
        <v>246</v>
      </c>
      <c r="E282">
        <v>24</v>
      </c>
      <c r="F282">
        <v>0</v>
      </c>
      <c r="G282">
        <v>82.92</v>
      </c>
      <c r="H282">
        <v>4</v>
      </c>
      <c r="I282" t="s">
        <v>4</v>
      </c>
      <c r="J282">
        <v>1</v>
      </c>
      <c r="K282" t="s">
        <v>73</v>
      </c>
      <c r="L282" t="s">
        <v>19</v>
      </c>
      <c r="M282" s="1">
        <v>42775</v>
      </c>
      <c r="N282" t="s">
        <v>102</v>
      </c>
      <c r="O282" t="str">
        <f t="shared" si="8"/>
        <v>YES</v>
      </c>
      <c r="P282" t="str">
        <f t="shared" si="9"/>
        <v>NO</v>
      </c>
    </row>
    <row r="283" spans="1:16" x14ac:dyDescent="0.3">
      <c r="A283">
        <v>282</v>
      </c>
      <c r="B283">
        <v>38</v>
      </c>
      <c r="C283">
        <v>51</v>
      </c>
      <c r="D283">
        <v>40</v>
      </c>
      <c r="E283">
        <v>2</v>
      </c>
      <c r="F283">
        <v>1</v>
      </c>
      <c r="G283">
        <v>95</v>
      </c>
      <c r="H283">
        <v>4</v>
      </c>
      <c r="I283" t="s">
        <v>0</v>
      </c>
      <c r="J283">
        <v>3</v>
      </c>
      <c r="K283" t="s">
        <v>73</v>
      </c>
      <c r="L283" t="s">
        <v>19</v>
      </c>
      <c r="M283" s="1">
        <v>42775</v>
      </c>
      <c r="N283" t="s">
        <v>102</v>
      </c>
      <c r="O283" t="str">
        <f t="shared" si="8"/>
        <v>NO</v>
      </c>
      <c r="P283" t="str">
        <f t="shared" si="9"/>
        <v>NO</v>
      </c>
    </row>
    <row r="284" spans="1:16" x14ac:dyDescent="0.3">
      <c r="A284">
        <v>283</v>
      </c>
      <c r="B284">
        <v>0</v>
      </c>
      <c r="C284">
        <v>2</v>
      </c>
      <c r="D284">
        <v>2</v>
      </c>
      <c r="E284">
        <v>0</v>
      </c>
      <c r="F284">
        <v>0</v>
      </c>
      <c r="G284">
        <v>0</v>
      </c>
      <c r="H284">
        <v>4</v>
      </c>
      <c r="I284" t="s">
        <v>0</v>
      </c>
      <c r="J284">
        <v>2</v>
      </c>
      <c r="K284" t="s">
        <v>63</v>
      </c>
      <c r="L284" t="s">
        <v>29</v>
      </c>
      <c r="M284" s="1">
        <v>42789</v>
      </c>
      <c r="N284" t="s">
        <v>102</v>
      </c>
      <c r="O284" t="str">
        <f t="shared" si="8"/>
        <v>NO</v>
      </c>
      <c r="P284" t="str">
        <f t="shared" si="9"/>
        <v>NO</v>
      </c>
    </row>
    <row r="285" spans="1:16" x14ac:dyDescent="0.3">
      <c r="A285">
        <v>284</v>
      </c>
      <c r="B285">
        <v>13</v>
      </c>
      <c r="C285">
        <v>33</v>
      </c>
      <c r="D285">
        <v>37</v>
      </c>
      <c r="E285">
        <v>1</v>
      </c>
      <c r="F285">
        <v>0</v>
      </c>
      <c r="G285">
        <v>35.130000000000003</v>
      </c>
      <c r="H285">
        <v>4</v>
      </c>
      <c r="I285" t="s">
        <v>7</v>
      </c>
      <c r="J285">
        <v>4</v>
      </c>
      <c r="K285" t="s">
        <v>63</v>
      </c>
      <c r="L285" t="s">
        <v>29</v>
      </c>
      <c r="M285" s="1">
        <v>42789</v>
      </c>
      <c r="N285" t="s">
        <v>102</v>
      </c>
      <c r="O285" t="str">
        <f t="shared" si="8"/>
        <v>NO</v>
      </c>
      <c r="P285" t="str">
        <f t="shared" si="9"/>
        <v>NO</v>
      </c>
    </row>
    <row r="286" spans="1:16" x14ac:dyDescent="0.3">
      <c r="A286">
        <v>285</v>
      </c>
      <c r="B286">
        <v>12</v>
      </c>
      <c r="C286">
        <v>25</v>
      </c>
      <c r="D286">
        <v>17</v>
      </c>
      <c r="E286">
        <v>2</v>
      </c>
      <c r="F286">
        <v>0</v>
      </c>
      <c r="G286">
        <v>70.58</v>
      </c>
      <c r="H286">
        <v>4</v>
      </c>
      <c r="I286" t="s">
        <v>4</v>
      </c>
      <c r="J286">
        <v>1</v>
      </c>
      <c r="K286" t="s">
        <v>63</v>
      </c>
      <c r="L286" t="s">
        <v>12</v>
      </c>
      <c r="M286" s="1">
        <v>42798</v>
      </c>
      <c r="N286" t="s">
        <v>102</v>
      </c>
      <c r="O286" t="str">
        <f t="shared" si="8"/>
        <v>NO</v>
      </c>
      <c r="P286" t="str">
        <f t="shared" si="9"/>
        <v>NO</v>
      </c>
    </row>
    <row r="287" spans="1:16" x14ac:dyDescent="0.3">
      <c r="A287">
        <v>286</v>
      </c>
      <c r="B287">
        <v>15</v>
      </c>
      <c r="C287">
        <v>34</v>
      </c>
      <c r="D287">
        <v>25</v>
      </c>
      <c r="E287">
        <v>1</v>
      </c>
      <c r="F287">
        <v>0</v>
      </c>
      <c r="G287">
        <v>60</v>
      </c>
      <c r="H287">
        <v>4</v>
      </c>
      <c r="I287" t="s">
        <v>4</v>
      </c>
      <c r="J287">
        <v>3</v>
      </c>
      <c r="K287" t="s">
        <v>63</v>
      </c>
      <c r="L287" t="s">
        <v>12</v>
      </c>
      <c r="M287" s="1">
        <v>42798</v>
      </c>
      <c r="N287" t="s">
        <v>102</v>
      </c>
      <c r="O287" t="str">
        <f t="shared" si="8"/>
        <v>NO</v>
      </c>
      <c r="P287" t="str">
        <f t="shared" si="9"/>
        <v>NO</v>
      </c>
    </row>
    <row r="288" spans="1:16" x14ac:dyDescent="0.3">
      <c r="A288">
        <v>287</v>
      </c>
      <c r="B288">
        <v>6</v>
      </c>
      <c r="C288">
        <v>38</v>
      </c>
      <c r="D288">
        <v>23</v>
      </c>
      <c r="E288">
        <v>0</v>
      </c>
      <c r="F288">
        <v>0</v>
      </c>
      <c r="G288">
        <v>26.08</v>
      </c>
      <c r="H288">
        <v>4</v>
      </c>
      <c r="I288" t="s">
        <v>0</v>
      </c>
      <c r="J288">
        <v>2</v>
      </c>
      <c r="K288" t="s">
        <v>63</v>
      </c>
      <c r="L288" t="s">
        <v>33</v>
      </c>
      <c r="M288" s="1">
        <v>42810</v>
      </c>
      <c r="N288" t="s">
        <v>102</v>
      </c>
      <c r="O288" t="str">
        <f t="shared" si="8"/>
        <v>NO</v>
      </c>
      <c r="P288" t="str">
        <f t="shared" si="9"/>
        <v>NO</v>
      </c>
    </row>
    <row r="289" spans="1:16" x14ac:dyDescent="0.3">
      <c r="A289">
        <v>288</v>
      </c>
      <c r="B289">
        <v>81</v>
      </c>
      <c r="C289">
        <v>108</v>
      </c>
      <c r="D289">
        <v>68</v>
      </c>
      <c r="E289">
        <v>6</v>
      </c>
      <c r="F289">
        <v>3</v>
      </c>
      <c r="G289">
        <v>119.11</v>
      </c>
      <c r="H289">
        <v>3</v>
      </c>
      <c r="I289" t="s">
        <v>66</v>
      </c>
      <c r="J289">
        <v>1</v>
      </c>
      <c r="K289" t="s">
        <v>84</v>
      </c>
      <c r="L289" t="s">
        <v>35</v>
      </c>
      <c r="M289" s="1">
        <v>42890</v>
      </c>
      <c r="N289" t="s">
        <v>103</v>
      </c>
      <c r="O289" t="str">
        <f t="shared" si="8"/>
        <v>NO</v>
      </c>
      <c r="P289" t="str">
        <f t="shared" si="9"/>
        <v>YES</v>
      </c>
    </row>
    <row r="290" spans="1:16" x14ac:dyDescent="0.3">
      <c r="A290">
        <v>289</v>
      </c>
      <c r="B290">
        <v>0</v>
      </c>
      <c r="C290">
        <v>5</v>
      </c>
      <c r="D290">
        <v>5</v>
      </c>
      <c r="E290">
        <v>0</v>
      </c>
      <c r="F290">
        <v>0</v>
      </c>
      <c r="G290">
        <v>0</v>
      </c>
      <c r="H290">
        <v>3</v>
      </c>
      <c r="I290" t="s">
        <v>0</v>
      </c>
      <c r="J290">
        <v>1</v>
      </c>
      <c r="K290" t="s">
        <v>74</v>
      </c>
      <c r="L290" t="s">
        <v>17</v>
      </c>
      <c r="M290" s="1">
        <v>42894</v>
      </c>
      <c r="N290" t="s">
        <v>103</v>
      </c>
      <c r="O290" t="str">
        <f t="shared" si="8"/>
        <v>NO</v>
      </c>
      <c r="P290" t="str">
        <f t="shared" si="9"/>
        <v>NO</v>
      </c>
    </row>
    <row r="291" spans="1:16" x14ac:dyDescent="0.3">
      <c r="A291">
        <v>290</v>
      </c>
      <c r="B291">
        <v>76</v>
      </c>
      <c r="C291">
        <v>136</v>
      </c>
      <c r="D291">
        <v>101</v>
      </c>
      <c r="E291">
        <v>7</v>
      </c>
      <c r="F291">
        <v>1</v>
      </c>
      <c r="G291">
        <v>75.239999999999995</v>
      </c>
      <c r="H291">
        <v>3</v>
      </c>
      <c r="I291" t="s">
        <v>66</v>
      </c>
      <c r="J291">
        <v>2</v>
      </c>
      <c r="K291" t="s">
        <v>68</v>
      </c>
      <c r="L291" t="s">
        <v>17</v>
      </c>
      <c r="M291" s="1">
        <v>42897</v>
      </c>
      <c r="N291" t="s">
        <v>103</v>
      </c>
      <c r="O291" t="str">
        <f t="shared" si="8"/>
        <v>NO</v>
      </c>
      <c r="P291" t="str">
        <f t="shared" si="9"/>
        <v>YES</v>
      </c>
    </row>
    <row r="292" spans="1:16" x14ac:dyDescent="0.3">
      <c r="A292">
        <v>291</v>
      </c>
      <c r="B292">
        <v>96</v>
      </c>
      <c r="C292">
        <v>96</v>
      </c>
      <c r="D292">
        <v>78</v>
      </c>
      <c r="E292">
        <v>13</v>
      </c>
      <c r="F292">
        <v>0</v>
      </c>
      <c r="G292">
        <v>123.07</v>
      </c>
      <c r="H292">
        <v>3</v>
      </c>
      <c r="I292" t="s">
        <v>66</v>
      </c>
      <c r="J292">
        <v>2</v>
      </c>
      <c r="K292" t="s">
        <v>73</v>
      </c>
      <c r="L292" t="s">
        <v>35</v>
      </c>
      <c r="M292" s="1">
        <v>42901</v>
      </c>
      <c r="N292" t="s">
        <v>103</v>
      </c>
      <c r="O292" t="str">
        <f t="shared" si="8"/>
        <v>NO</v>
      </c>
      <c r="P292" t="str">
        <f t="shared" si="9"/>
        <v>YES</v>
      </c>
    </row>
    <row r="293" spans="1:16" x14ac:dyDescent="0.3">
      <c r="A293">
        <v>292</v>
      </c>
      <c r="B293">
        <v>5</v>
      </c>
      <c r="C293">
        <v>11</v>
      </c>
      <c r="D293">
        <v>9</v>
      </c>
      <c r="E293">
        <v>0</v>
      </c>
      <c r="F293">
        <v>0</v>
      </c>
      <c r="G293">
        <v>55.55</v>
      </c>
      <c r="H293">
        <v>3</v>
      </c>
      <c r="I293" t="s">
        <v>0</v>
      </c>
      <c r="J293">
        <v>2</v>
      </c>
      <c r="K293" t="s">
        <v>84</v>
      </c>
      <c r="L293" t="s">
        <v>17</v>
      </c>
      <c r="M293" s="1">
        <v>42904</v>
      </c>
      <c r="N293" t="s">
        <v>103</v>
      </c>
      <c r="O293" t="str">
        <f t="shared" si="8"/>
        <v>NO</v>
      </c>
      <c r="P293" t="str">
        <f t="shared" si="9"/>
        <v>NO</v>
      </c>
    </row>
    <row r="294" spans="1:16" x14ac:dyDescent="0.3">
      <c r="A294">
        <v>293</v>
      </c>
      <c r="B294">
        <v>32</v>
      </c>
      <c r="C294">
        <v>45</v>
      </c>
      <c r="D294">
        <v>47</v>
      </c>
      <c r="E294">
        <v>1</v>
      </c>
      <c r="F294">
        <v>0</v>
      </c>
      <c r="G294">
        <v>68.08</v>
      </c>
      <c r="H294">
        <v>3</v>
      </c>
      <c r="I294" t="s">
        <v>66</v>
      </c>
      <c r="J294">
        <v>1</v>
      </c>
      <c r="K294" t="s">
        <v>60</v>
      </c>
      <c r="L294" t="s">
        <v>78</v>
      </c>
      <c r="M294" s="1">
        <v>42909</v>
      </c>
      <c r="N294" t="s">
        <v>103</v>
      </c>
      <c r="O294" t="str">
        <f t="shared" si="8"/>
        <v>NO</v>
      </c>
      <c r="P294" t="str">
        <f t="shared" si="9"/>
        <v>NO</v>
      </c>
    </row>
    <row r="295" spans="1:16" x14ac:dyDescent="0.3">
      <c r="A295">
        <v>294</v>
      </c>
      <c r="B295">
        <v>87</v>
      </c>
      <c r="C295">
        <v>110</v>
      </c>
      <c r="D295">
        <v>66</v>
      </c>
      <c r="E295">
        <v>4</v>
      </c>
      <c r="F295">
        <v>4</v>
      </c>
      <c r="G295">
        <v>131.81</v>
      </c>
      <c r="H295">
        <v>3</v>
      </c>
      <c r="I295" t="s">
        <v>0</v>
      </c>
      <c r="J295">
        <v>1</v>
      </c>
      <c r="K295" t="s">
        <v>60</v>
      </c>
      <c r="L295" t="s">
        <v>78</v>
      </c>
      <c r="M295" s="1">
        <v>42911</v>
      </c>
      <c r="N295" t="s">
        <v>103</v>
      </c>
      <c r="O295" t="str">
        <f t="shared" si="8"/>
        <v>NO</v>
      </c>
      <c r="P295" t="str">
        <f t="shared" si="9"/>
        <v>YES</v>
      </c>
    </row>
    <row r="296" spans="1:16" x14ac:dyDescent="0.3">
      <c r="A296">
        <v>295</v>
      </c>
      <c r="B296">
        <v>11</v>
      </c>
      <c r="C296">
        <v>20</v>
      </c>
      <c r="D296">
        <v>22</v>
      </c>
      <c r="E296">
        <v>2</v>
      </c>
      <c r="F296">
        <v>0</v>
      </c>
      <c r="G296">
        <v>50</v>
      </c>
      <c r="H296">
        <v>3</v>
      </c>
      <c r="I296" t="s">
        <v>0</v>
      </c>
      <c r="J296">
        <v>1</v>
      </c>
      <c r="K296" t="s">
        <v>60</v>
      </c>
      <c r="L296" t="s">
        <v>57</v>
      </c>
      <c r="M296" s="1">
        <v>42916</v>
      </c>
      <c r="N296" t="s">
        <v>103</v>
      </c>
      <c r="O296" t="str">
        <f t="shared" si="8"/>
        <v>NO</v>
      </c>
      <c r="P296" t="str">
        <f t="shared" si="9"/>
        <v>NO</v>
      </c>
    </row>
    <row r="297" spans="1:16" x14ac:dyDescent="0.3">
      <c r="A297">
        <v>296</v>
      </c>
      <c r="B297">
        <v>3</v>
      </c>
      <c r="C297">
        <v>5</v>
      </c>
      <c r="D297">
        <v>12</v>
      </c>
      <c r="E297">
        <v>0</v>
      </c>
      <c r="F297">
        <v>0</v>
      </c>
      <c r="G297">
        <v>25</v>
      </c>
      <c r="H297">
        <v>3</v>
      </c>
      <c r="I297" t="s">
        <v>0</v>
      </c>
      <c r="J297">
        <v>2</v>
      </c>
      <c r="K297" t="s">
        <v>60</v>
      </c>
      <c r="L297" t="s">
        <v>57</v>
      </c>
      <c r="M297" s="1">
        <v>42918</v>
      </c>
      <c r="N297" t="s">
        <v>103</v>
      </c>
      <c r="O297" t="str">
        <f t="shared" si="8"/>
        <v>NO</v>
      </c>
      <c r="P297" t="str">
        <f t="shared" si="9"/>
        <v>NO</v>
      </c>
    </row>
    <row r="298" spans="1:16" x14ac:dyDescent="0.3">
      <c r="A298">
        <v>297</v>
      </c>
      <c r="B298">
        <v>111</v>
      </c>
      <c r="C298">
        <v>146</v>
      </c>
      <c r="D298">
        <v>115</v>
      </c>
      <c r="E298">
        <v>12</v>
      </c>
      <c r="F298">
        <v>2</v>
      </c>
      <c r="G298">
        <v>96.52</v>
      </c>
      <c r="H298">
        <v>3</v>
      </c>
      <c r="I298" t="s">
        <v>66</v>
      </c>
      <c r="J298">
        <v>2</v>
      </c>
      <c r="K298" t="s">
        <v>60</v>
      </c>
      <c r="L298" t="s">
        <v>61</v>
      </c>
      <c r="M298" s="1">
        <v>42922</v>
      </c>
      <c r="N298" t="s">
        <v>103</v>
      </c>
      <c r="O298" t="str">
        <f t="shared" si="8"/>
        <v>YES</v>
      </c>
      <c r="P298" t="str">
        <f t="shared" si="9"/>
        <v>NO</v>
      </c>
    </row>
    <row r="299" spans="1:16" x14ac:dyDescent="0.3">
      <c r="A299">
        <v>298</v>
      </c>
      <c r="B299">
        <v>39</v>
      </c>
      <c r="C299">
        <v>40</v>
      </c>
      <c r="D299">
        <v>22</v>
      </c>
      <c r="E299">
        <v>7</v>
      </c>
      <c r="F299">
        <v>1</v>
      </c>
      <c r="G299">
        <v>177.27</v>
      </c>
      <c r="H299">
        <v>1</v>
      </c>
      <c r="I299" t="s">
        <v>0</v>
      </c>
      <c r="J299">
        <v>1</v>
      </c>
      <c r="K299" t="s">
        <v>60</v>
      </c>
      <c r="L299" t="s">
        <v>61</v>
      </c>
      <c r="M299" s="1">
        <v>42925</v>
      </c>
      <c r="N299" t="s">
        <v>104</v>
      </c>
      <c r="O299" t="str">
        <f t="shared" si="8"/>
        <v>NO</v>
      </c>
      <c r="P299" t="str">
        <f t="shared" si="9"/>
        <v>NO</v>
      </c>
    </row>
    <row r="300" spans="1:16" x14ac:dyDescent="0.3">
      <c r="A300">
        <v>299</v>
      </c>
      <c r="B300">
        <v>3</v>
      </c>
      <c r="C300">
        <v>15</v>
      </c>
      <c r="D300">
        <v>8</v>
      </c>
      <c r="E300">
        <v>0</v>
      </c>
      <c r="F300">
        <v>0</v>
      </c>
      <c r="G300">
        <v>37.5</v>
      </c>
      <c r="H300">
        <v>4</v>
      </c>
      <c r="I300" t="s">
        <v>0</v>
      </c>
      <c r="J300">
        <v>1</v>
      </c>
      <c r="K300" t="s">
        <v>74</v>
      </c>
      <c r="L300" t="s">
        <v>75</v>
      </c>
      <c r="M300" s="1">
        <v>42942</v>
      </c>
      <c r="N300" t="s">
        <v>102</v>
      </c>
      <c r="O300" t="str">
        <f t="shared" si="8"/>
        <v>NO</v>
      </c>
      <c r="P300" t="str">
        <f t="shared" si="9"/>
        <v>NO</v>
      </c>
    </row>
    <row r="301" spans="1:16" x14ac:dyDescent="0.3">
      <c r="A301">
        <v>300</v>
      </c>
      <c r="B301">
        <v>103</v>
      </c>
      <c r="C301">
        <v>158</v>
      </c>
      <c r="D301">
        <v>136</v>
      </c>
      <c r="E301">
        <v>5</v>
      </c>
      <c r="F301">
        <v>1</v>
      </c>
      <c r="G301">
        <v>75.73</v>
      </c>
      <c r="H301">
        <v>4</v>
      </c>
      <c r="I301" t="s">
        <v>66</v>
      </c>
      <c r="J301">
        <v>3</v>
      </c>
      <c r="K301" t="s">
        <v>74</v>
      </c>
      <c r="L301" t="s">
        <v>75</v>
      </c>
      <c r="M301" s="1">
        <v>42942</v>
      </c>
      <c r="N301" t="s">
        <v>102</v>
      </c>
      <c r="O301" t="str">
        <f t="shared" si="8"/>
        <v>YES</v>
      </c>
      <c r="P301" t="str">
        <f t="shared" si="9"/>
        <v>NO</v>
      </c>
    </row>
    <row r="302" spans="1:16" x14ac:dyDescent="0.3">
      <c r="A302">
        <v>301</v>
      </c>
      <c r="B302">
        <v>13</v>
      </c>
      <c r="C302">
        <v>31</v>
      </c>
      <c r="D302">
        <v>29</v>
      </c>
      <c r="E302">
        <v>2</v>
      </c>
      <c r="F302">
        <v>0</v>
      </c>
      <c r="G302">
        <v>44.82</v>
      </c>
      <c r="H302">
        <v>4</v>
      </c>
      <c r="I302" t="s">
        <v>0</v>
      </c>
      <c r="J302">
        <v>1</v>
      </c>
      <c r="K302" t="s">
        <v>74</v>
      </c>
      <c r="L302" t="s">
        <v>77</v>
      </c>
      <c r="M302" s="1">
        <v>42950</v>
      </c>
      <c r="N302" t="s">
        <v>102</v>
      </c>
      <c r="O302" t="str">
        <f t="shared" si="8"/>
        <v>NO</v>
      </c>
      <c r="P302" t="str">
        <f t="shared" si="9"/>
        <v>NO</v>
      </c>
    </row>
    <row r="303" spans="1:16" x14ac:dyDescent="0.3">
      <c r="A303">
        <v>302</v>
      </c>
      <c r="B303">
        <v>42</v>
      </c>
      <c r="C303">
        <v>119</v>
      </c>
      <c r="D303">
        <v>84</v>
      </c>
      <c r="E303">
        <v>3</v>
      </c>
      <c r="F303">
        <v>0</v>
      </c>
      <c r="G303">
        <v>50</v>
      </c>
      <c r="H303">
        <v>4</v>
      </c>
      <c r="I303" t="s">
        <v>0</v>
      </c>
      <c r="J303">
        <v>1</v>
      </c>
      <c r="K303" t="s">
        <v>74</v>
      </c>
      <c r="L303" t="s">
        <v>53</v>
      </c>
      <c r="M303" s="1">
        <v>42959</v>
      </c>
      <c r="N303" t="s">
        <v>102</v>
      </c>
      <c r="O303" t="str">
        <f t="shared" si="8"/>
        <v>NO</v>
      </c>
      <c r="P303" t="str">
        <f t="shared" si="9"/>
        <v>NO</v>
      </c>
    </row>
    <row r="304" spans="1:16" x14ac:dyDescent="0.3">
      <c r="A304">
        <v>303</v>
      </c>
      <c r="B304">
        <v>82</v>
      </c>
      <c r="C304">
        <v>120</v>
      </c>
      <c r="D304">
        <v>70</v>
      </c>
      <c r="E304">
        <v>10</v>
      </c>
      <c r="F304">
        <v>1</v>
      </c>
      <c r="G304">
        <v>117.14</v>
      </c>
      <c r="H304">
        <v>3</v>
      </c>
      <c r="I304" t="s">
        <v>66</v>
      </c>
      <c r="J304">
        <v>2</v>
      </c>
      <c r="K304" t="s">
        <v>74</v>
      </c>
      <c r="L304" t="s">
        <v>10</v>
      </c>
      <c r="M304" s="1">
        <v>42967</v>
      </c>
      <c r="N304" t="s">
        <v>103</v>
      </c>
      <c r="O304" t="str">
        <f t="shared" si="8"/>
        <v>NO</v>
      </c>
      <c r="P304" t="str">
        <f t="shared" si="9"/>
        <v>YES</v>
      </c>
    </row>
    <row r="305" spans="1:16" x14ac:dyDescent="0.3">
      <c r="A305">
        <v>304</v>
      </c>
      <c r="B305">
        <v>4</v>
      </c>
      <c r="C305">
        <v>5</v>
      </c>
      <c r="D305">
        <v>2</v>
      </c>
      <c r="E305">
        <v>1</v>
      </c>
      <c r="F305">
        <v>0</v>
      </c>
      <c r="G305">
        <v>200</v>
      </c>
      <c r="H305">
        <v>5</v>
      </c>
      <c r="I305" t="s">
        <v>7</v>
      </c>
      <c r="J305">
        <v>2</v>
      </c>
      <c r="K305" t="s">
        <v>74</v>
      </c>
      <c r="L305" t="s">
        <v>53</v>
      </c>
      <c r="M305" s="1">
        <v>42971</v>
      </c>
      <c r="N305" t="s">
        <v>103</v>
      </c>
      <c r="O305" t="str">
        <f t="shared" si="8"/>
        <v>NO</v>
      </c>
      <c r="P305" t="str">
        <f t="shared" si="9"/>
        <v>NO</v>
      </c>
    </row>
    <row r="306" spans="1:16" x14ac:dyDescent="0.3">
      <c r="A306">
        <v>305</v>
      </c>
      <c r="B306">
        <v>3</v>
      </c>
      <c r="C306">
        <v>5</v>
      </c>
      <c r="D306">
        <v>11</v>
      </c>
      <c r="E306">
        <v>0</v>
      </c>
      <c r="F306">
        <v>0</v>
      </c>
      <c r="G306">
        <v>27.27</v>
      </c>
      <c r="H306">
        <v>3</v>
      </c>
      <c r="I306" t="s">
        <v>0</v>
      </c>
      <c r="J306">
        <v>2</v>
      </c>
      <c r="K306" t="s">
        <v>74</v>
      </c>
      <c r="L306" t="s">
        <v>53</v>
      </c>
      <c r="M306" s="1">
        <v>42974</v>
      </c>
      <c r="N306" t="s">
        <v>103</v>
      </c>
      <c r="O306" t="str">
        <f t="shared" si="8"/>
        <v>NO</v>
      </c>
      <c r="P306" t="str">
        <f t="shared" si="9"/>
        <v>NO</v>
      </c>
    </row>
    <row r="307" spans="1:16" x14ac:dyDescent="0.3">
      <c r="A307">
        <v>306</v>
      </c>
      <c r="B307">
        <v>131</v>
      </c>
      <c r="C307">
        <v>180</v>
      </c>
      <c r="D307">
        <v>96</v>
      </c>
      <c r="E307">
        <v>17</v>
      </c>
      <c r="F307">
        <v>2</v>
      </c>
      <c r="G307">
        <v>136.44999999999999</v>
      </c>
      <c r="H307">
        <v>3</v>
      </c>
      <c r="I307" t="s">
        <v>0</v>
      </c>
      <c r="J307">
        <v>1</v>
      </c>
      <c r="K307" t="s">
        <v>74</v>
      </c>
      <c r="L307" t="s">
        <v>27</v>
      </c>
      <c r="M307" s="1">
        <v>42978</v>
      </c>
      <c r="N307" t="s">
        <v>103</v>
      </c>
      <c r="O307" t="str">
        <f t="shared" si="8"/>
        <v>YES</v>
      </c>
      <c r="P307" t="str">
        <f t="shared" si="9"/>
        <v>NO</v>
      </c>
    </row>
    <row r="308" spans="1:16" x14ac:dyDescent="0.3">
      <c r="A308">
        <v>307</v>
      </c>
      <c r="B308">
        <v>110</v>
      </c>
      <c r="C308">
        <v>100</v>
      </c>
      <c r="D308">
        <v>116</v>
      </c>
      <c r="E308">
        <v>9</v>
      </c>
      <c r="F308">
        <v>0</v>
      </c>
      <c r="G308">
        <v>94.82</v>
      </c>
      <c r="H308">
        <v>3</v>
      </c>
      <c r="I308" t="s">
        <v>66</v>
      </c>
      <c r="J308">
        <v>2</v>
      </c>
      <c r="K308" t="s">
        <v>74</v>
      </c>
      <c r="L308" t="s">
        <v>27</v>
      </c>
      <c r="M308" s="1">
        <v>42981</v>
      </c>
      <c r="N308" t="s">
        <v>103</v>
      </c>
      <c r="O308" t="str">
        <f t="shared" si="8"/>
        <v>YES</v>
      </c>
      <c r="P308" t="str">
        <f t="shared" si="9"/>
        <v>NO</v>
      </c>
    </row>
    <row r="309" spans="1:16" x14ac:dyDescent="0.3">
      <c r="A309">
        <v>308</v>
      </c>
      <c r="B309">
        <v>82</v>
      </c>
      <c r="C309">
        <v>60</v>
      </c>
      <c r="D309">
        <v>54</v>
      </c>
      <c r="E309">
        <v>7</v>
      </c>
      <c r="F309">
        <v>1</v>
      </c>
      <c r="G309">
        <v>151.85</v>
      </c>
      <c r="H309">
        <v>3</v>
      </c>
      <c r="I309" t="s">
        <v>0</v>
      </c>
      <c r="J309">
        <v>2</v>
      </c>
      <c r="K309" t="s">
        <v>74</v>
      </c>
      <c r="L309" t="s">
        <v>27</v>
      </c>
      <c r="M309" s="1">
        <v>42984</v>
      </c>
      <c r="N309" t="s">
        <v>104</v>
      </c>
      <c r="O309" t="str">
        <f t="shared" si="8"/>
        <v>NO</v>
      </c>
      <c r="P309" t="str">
        <f t="shared" si="9"/>
        <v>YES</v>
      </c>
    </row>
    <row r="310" spans="1:16" x14ac:dyDescent="0.3">
      <c r="A310">
        <v>309</v>
      </c>
      <c r="B310">
        <v>0</v>
      </c>
      <c r="C310">
        <v>7</v>
      </c>
      <c r="D310">
        <v>4</v>
      </c>
      <c r="E310">
        <v>0</v>
      </c>
      <c r="F310">
        <v>0</v>
      </c>
      <c r="G310">
        <v>0</v>
      </c>
      <c r="H310">
        <v>3</v>
      </c>
      <c r="I310" t="s">
        <v>0</v>
      </c>
      <c r="J310">
        <v>1</v>
      </c>
      <c r="K310" t="s">
        <v>63</v>
      </c>
      <c r="L310" t="s">
        <v>30</v>
      </c>
      <c r="M310" s="1">
        <v>42995</v>
      </c>
      <c r="N310" t="s">
        <v>103</v>
      </c>
      <c r="O310" t="str">
        <f t="shared" si="8"/>
        <v>NO</v>
      </c>
      <c r="P310" t="str">
        <f t="shared" si="9"/>
        <v>NO</v>
      </c>
    </row>
    <row r="311" spans="1:16" x14ac:dyDescent="0.3">
      <c r="A311">
        <v>310</v>
      </c>
      <c r="B311">
        <v>92</v>
      </c>
      <c r="C311">
        <v>148</v>
      </c>
      <c r="D311">
        <v>107</v>
      </c>
      <c r="E311">
        <v>8</v>
      </c>
      <c r="F311">
        <v>0</v>
      </c>
      <c r="G311">
        <v>85.98</v>
      </c>
      <c r="H311">
        <v>3</v>
      </c>
      <c r="I311" t="s">
        <v>7</v>
      </c>
      <c r="J311">
        <v>1</v>
      </c>
      <c r="K311" t="s">
        <v>63</v>
      </c>
      <c r="L311" t="s">
        <v>21</v>
      </c>
      <c r="M311" s="1">
        <v>42999</v>
      </c>
      <c r="N311" t="s">
        <v>103</v>
      </c>
      <c r="O311" t="str">
        <f t="shared" si="8"/>
        <v>NO</v>
      </c>
      <c r="P311" t="str">
        <f t="shared" si="9"/>
        <v>YES</v>
      </c>
    </row>
    <row r="312" spans="1:16" x14ac:dyDescent="0.3">
      <c r="A312">
        <v>311</v>
      </c>
      <c r="B312">
        <v>28</v>
      </c>
      <c r="C312">
        <v>58</v>
      </c>
      <c r="D312">
        <v>35</v>
      </c>
      <c r="E312">
        <v>2</v>
      </c>
      <c r="F312">
        <v>0</v>
      </c>
      <c r="G312">
        <v>80</v>
      </c>
      <c r="H312">
        <v>3</v>
      </c>
      <c r="I312" t="s">
        <v>0</v>
      </c>
      <c r="J312">
        <v>2</v>
      </c>
      <c r="K312" t="s">
        <v>63</v>
      </c>
      <c r="L312" t="s">
        <v>46</v>
      </c>
      <c r="M312" s="1">
        <v>43002</v>
      </c>
      <c r="N312" t="s">
        <v>103</v>
      </c>
      <c r="O312" t="str">
        <f t="shared" si="8"/>
        <v>NO</v>
      </c>
      <c r="P312" t="str">
        <f t="shared" si="9"/>
        <v>NO</v>
      </c>
    </row>
    <row r="313" spans="1:16" x14ac:dyDescent="0.3">
      <c r="A313">
        <v>312</v>
      </c>
      <c r="B313">
        <v>21</v>
      </c>
      <c r="C313">
        <v>23</v>
      </c>
      <c r="D313">
        <v>21</v>
      </c>
      <c r="E313">
        <v>3</v>
      </c>
      <c r="F313">
        <v>0</v>
      </c>
      <c r="G313">
        <v>100</v>
      </c>
      <c r="H313">
        <v>3</v>
      </c>
      <c r="I313" t="s">
        <v>7</v>
      </c>
      <c r="J313">
        <v>2</v>
      </c>
      <c r="K313" t="s">
        <v>63</v>
      </c>
      <c r="L313" t="s">
        <v>12</v>
      </c>
      <c r="M313" s="1">
        <v>43006</v>
      </c>
      <c r="N313" t="s">
        <v>103</v>
      </c>
      <c r="O313" t="str">
        <f t="shared" si="8"/>
        <v>NO</v>
      </c>
      <c r="P313" t="str">
        <f t="shared" si="9"/>
        <v>NO</v>
      </c>
    </row>
    <row r="314" spans="1:16" x14ac:dyDescent="0.3">
      <c r="A314">
        <v>313</v>
      </c>
      <c r="B314">
        <v>39</v>
      </c>
      <c r="C314">
        <v>73</v>
      </c>
      <c r="D314">
        <v>55</v>
      </c>
      <c r="E314">
        <v>2</v>
      </c>
      <c r="F314">
        <v>0</v>
      </c>
      <c r="G314">
        <v>70.900000000000006</v>
      </c>
      <c r="H314">
        <v>3</v>
      </c>
      <c r="I314" t="s">
        <v>0</v>
      </c>
      <c r="J314">
        <v>2</v>
      </c>
      <c r="K314" t="s">
        <v>63</v>
      </c>
      <c r="L314" t="s">
        <v>28</v>
      </c>
      <c r="M314" s="1">
        <v>43009</v>
      </c>
      <c r="N314" t="s">
        <v>103</v>
      </c>
      <c r="O314" t="str">
        <f t="shared" si="8"/>
        <v>NO</v>
      </c>
      <c r="P314" t="str">
        <f t="shared" si="9"/>
        <v>NO</v>
      </c>
    </row>
    <row r="315" spans="1:16" x14ac:dyDescent="0.3">
      <c r="A315">
        <v>314</v>
      </c>
      <c r="B315">
        <v>22</v>
      </c>
      <c r="C315">
        <v>19</v>
      </c>
      <c r="D315">
        <v>14</v>
      </c>
      <c r="E315">
        <v>3</v>
      </c>
      <c r="F315">
        <v>0</v>
      </c>
      <c r="G315">
        <v>157.13999999999999</v>
      </c>
      <c r="H315">
        <v>3</v>
      </c>
      <c r="I315" t="s">
        <v>66</v>
      </c>
      <c r="J315">
        <v>2</v>
      </c>
      <c r="K315" t="s">
        <v>63</v>
      </c>
      <c r="L315" t="s">
        <v>33</v>
      </c>
      <c r="M315" s="1">
        <v>43015</v>
      </c>
      <c r="N315" t="s">
        <v>104</v>
      </c>
      <c r="O315" t="str">
        <f t="shared" si="8"/>
        <v>NO</v>
      </c>
      <c r="P315" t="str">
        <f t="shared" si="9"/>
        <v>NO</v>
      </c>
    </row>
    <row r="316" spans="1:16" x14ac:dyDescent="0.3">
      <c r="A316">
        <v>315</v>
      </c>
      <c r="B316">
        <v>0</v>
      </c>
      <c r="C316">
        <v>2</v>
      </c>
      <c r="D316">
        <v>2</v>
      </c>
      <c r="E316">
        <v>0</v>
      </c>
      <c r="F316">
        <v>0</v>
      </c>
      <c r="G316">
        <v>0</v>
      </c>
      <c r="H316">
        <v>3</v>
      </c>
      <c r="I316" t="s">
        <v>0</v>
      </c>
      <c r="J316">
        <v>1</v>
      </c>
      <c r="K316" t="s">
        <v>63</v>
      </c>
      <c r="L316" t="s">
        <v>47</v>
      </c>
      <c r="M316" s="1">
        <v>43018</v>
      </c>
      <c r="N316" t="s">
        <v>104</v>
      </c>
      <c r="O316" t="str">
        <f t="shared" si="8"/>
        <v>NO</v>
      </c>
      <c r="P316" t="str">
        <f t="shared" si="9"/>
        <v>NO</v>
      </c>
    </row>
    <row r="317" spans="1:16" x14ac:dyDescent="0.3">
      <c r="A317">
        <v>316</v>
      </c>
      <c r="B317">
        <v>121</v>
      </c>
      <c r="C317">
        <v>203</v>
      </c>
      <c r="D317">
        <v>125</v>
      </c>
      <c r="E317">
        <v>9</v>
      </c>
      <c r="F317">
        <v>2</v>
      </c>
      <c r="G317">
        <v>96.8</v>
      </c>
      <c r="H317">
        <v>3</v>
      </c>
      <c r="I317" t="s">
        <v>0</v>
      </c>
      <c r="J317">
        <v>1</v>
      </c>
      <c r="K317" t="s">
        <v>65</v>
      </c>
      <c r="L317" t="s">
        <v>20</v>
      </c>
      <c r="M317" s="1">
        <v>43030</v>
      </c>
      <c r="N317" t="s">
        <v>103</v>
      </c>
      <c r="O317" t="str">
        <f t="shared" si="8"/>
        <v>YES</v>
      </c>
      <c r="P317" t="str">
        <f t="shared" si="9"/>
        <v>NO</v>
      </c>
    </row>
    <row r="318" spans="1:16" x14ac:dyDescent="0.3">
      <c r="A318">
        <v>317</v>
      </c>
      <c r="B318">
        <v>29</v>
      </c>
      <c r="C318">
        <v>40</v>
      </c>
      <c r="D318">
        <v>29</v>
      </c>
      <c r="E318">
        <v>3</v>
      </c>
      <c r="F318">
        <v>1</v>
      </c>
      <c r="G318">
        <v>100</v>
      </c>
      <c r="H318">
        <v>3</v>
      </c>
      <c r="I318" t="s">
        <v>0</v>
      </c>
      <c r="J318">
        <v>2</v>
      </c>
      <c r="K318" t="s">
        <v>65</v>
      </c>
      <c r="L318" t="s">
        <v>29</v>
      </c>
      <c r="M318" s="1">
        <v>43033</v>
      </c>
      <c r="N318" t="s">
        <v>103</v>
      </c>
      <c r="O318" t="str">
        <f t="shared" si="8"/>
        <v>NO</v>
      </c>
      <c r="P318" t="str">
        <f t="shared" si="9"/>
        <v>NO</v>
      </c>
    </row>
    <row r="319" spans="1:16" x14ac:dyDescent="0.3">
      <c r="A319">
        <v>318</v>
      </c>
      <c r="B319">
        <v>113</v>
      </c>
      <c r="C319">
        <v>166</v>
      </c>
      <c r="D319">
        <v>106</v>
      </c>
      <c r="E319">
        <v>9</v>
      </c>
      <c r="F319">
        <v>1</v>
      </c>
      <c r="G319">
        <v>106.6</v>
      </c>
      <c r="H319">
        <v>3</v>
      </c>
      <c r="I319" t="s">
        <v>0</v>
      </c>
      <c r="J319">
        <v>1</v>
      </c>
      <c r="K319" t="s">
        <v>65</v>
      </c>
      <c r="L319" t="s">
        <v>45</v>
      </c>
      <c r="M319" s="1">
        <v>43037</v>
      </c>
      <c r="N319" t="s">
        <v>103</v>
      </c>
      <c r="O319" t="str">
        <f t="shared" si="8"/>
        <v>YES</v>
      </c>
      <c r="P319" t="str">
        <f t="shared" si="9"/>
        <v>NO</v>
      </c>
    </row>
    <row r="320" spans="1:16" x14ac:dyDescent="0.3">
      <c r="A320">
        <v>319</v>
      </c>
      <c r="B320">
        <v>26</v>
      </c>
      <c r="C320">
        <v>19</v>
      </c>
      <c r="D320">
        <v>11</v>
      </c>
      <c r="E320">
        <v>0</v>
      </c>
      <c r="F320">
        <v>3</v>
      </c>
      <c r="G320">
        <v>236.36</v>
      </c>
      <c r="H320">
        <v>4</v>
      </c>
      <c r="I320" t="s">
        <v>66</v>
      </c>
      <c r="J320">
        <v>1</v>
      </c>
      <c r="K320" t="s">
        <v>65</v>
      </c>
      <c r="L320" t="s">
        <v>13</v>
      </c>
      <c r="M320" s="1">
        <v>43040</v>
      </c>
      <c r="N320" t="s">
        <v>104</v>
      </c>
      <c r="O320" t="str">
        <f t="shared" si="8"/>
        <v>NO</v>
      </c>
      <c r="P320" t="str">
        <f t="shared" si="9"/>
        <v>NO</v>
      </c>
    </row>
    <row r="321" spans="1:16" x14ac:dyDescent="0.3">
      <c r="A321">
        <v>320</v>
      </c>
      <c r="B321">
        <v>65</v>
      </c>
      <c r="C321">
        <v>59</v>
      </c>
      <c r="D321">
        <v>42</v>
      </c>
      <c r="E321">
        <v>8</v>
      </c>
      <c r="F321">
        <v>1</v>
      </c>
      <c r="G321">
        <v>154.76</v>
      </c>
      <c r="H321">
        <v>4</v>
      </c>
      <c r="I321" t="s">
        <v>0</v>
      </c>
      <c r="J321">
        <v>2</v>
      </c>
      <c r="K321" t="s">
        <v>65</v>
      </c>
      <c r="L321" t="s">
        <v>31</v>
      </c>
      <c r="M321" s="1">
        <v>43043</v>
      </c>
      <c r="N321" t="s">
        <v>104</v>
      </c>
      <c r="O321" t="str">
        <f t="shared" si="8"/>
        <v>NO</v>
      </c>
      <c r="P321" t="str">
        <f t="shared" si="9"/>
        <v>YES</v>
      </c>
    </row>
    <row r="322" spans="1:16" x14ac:dyDescent="0.3">
      <c r="A322">
        <v>321</v>
      </c>
      <c r="B322">
        <v>13</v>
      </c>
      <c r="C322">
        <v>6</v>
      </c>
      <c r="D322">
        <v>6</v>
      </c>
      <c r="E322">
        <v>1</v>
      </c>
      <c r="F322">
        <v>1</v>
      </c>
      <c r="G322">
        <v>216.66</v>
      </c>
      <c r="H322">
        <v>3</v>
      </c>
      <c r="I322" t="s">
        <v>0</v>
      </c>
      <c r="J322">
        <v>1</v>
      </c>
      <c r="K322" t="s">
        <v>65</v>
      </c>
      <c r="L322" t="s">
        <v>87</v>
      </c>
      <c r="M322" s="1">
        <v>43046</v>
      </c>
      <c r="N322" t="s">
        <v>104</v>
      </c>
      <c r="O322" t="str">
        <f t="shared" si="8"/>
        <v>NO</v>
      </c>
      <c r="P322" t="str">
        <f t="shared" si="9"/>
        <v>NO</v>
      </c>
    </row>
    <row r="323" spans="1:16" x14ac:dyDescent="0.3">
      <c r="A323">
        <v>322</v>
      </c>
      <c r="B323">
        <v>0</v>
      </c>
      <c r="C323">
        <v>18</v>
      </c>
      <c r="D323">
        <v>11</v>
      </c>
      <c r="E323">
        <v>0</v>
      </c>
      <c r="F323">
        <v>0</v>
      </c>
      <c r="G323">
        <v>0</v>
      </c>
      <c r="H323">
        <v>4</v>
      </c>
      <c r="I323" t="s">
        <v>4</v>
      </c>
      <c r="J323">
        <v>1</v>
      </c>
      <c r="K323" t="s">
        <v>74</v>
      </c>
      <c r="L323" t="s">
        <v>21</v>
      </c>
      <c r="M323" s="1">
        <v>43055</v>
      </c>
      <c r="N323" t="s">
        <v>102</v>
      </c>
      <c r="O323" t="str">
        <f t="shared" ref="O323:O386" si="10">IF(B323&gt;100,"YES","NO")</f>
        <v>NO</v>
      </c>
      <c r="P323" t="str">
        <f t="shared" ref="P323:P386" si="11">IF(AND(B323&gt;=50,B323&lt;100),"YES","NO")</f>
        <v>NO</v>
      </c>
    </row>
    <row r="324" spans="1:16" x14ac:dyDescent="0.3">
      <c r="A324">
        <v>323</v>
      </c>
      <c r="B324">
        <v>104</v>
      </c>
      <c r="C324">
        <v>208</v>
      </c>
      <c r="D324">
        <v>119</v>
      </c>
      <c r="E324">
        <v>12</v>
      </c>
      <c r="F324">
        <v>2</v>
      </c>
      <c r="G324">
        <v>87.39</v>
      </c>
      <c r="H324">
        <v>4</v>
      </c>
      <c r="I324" t="s">
        <v>66</v>
      </c>
      <c r="J324">
        <v>3</v>
      </c>
      <c r="K324" t="s">
        <v>74</v>
      </c>
      <c r="L324" t="s">
        <v>21</v>
      </c>
      <c r="M324" s="1">
        <v>43055</v>
      </c>
      <c r="N324" t="s">
        <v>102</v>
      </c>
      <c r="O324" t="str">
        <f t="shared" si="10"/>
        <v>YES</v>
      </c>
      <c r="P324" t="str">
        <f t="shared" si="11"/>
        <v>NO</v>
      </c>
    </row>
    <row r="325" spans="1:16" x14ac:dyDescent="0.3">
      <c r="A325">
        <v>324</v>
      </c>
      <c r="B325">
        <v>213</v>
      </c>
      <c r="C325">
        <v>386</v>
      </c>
      <c r="D325">
        <v>267</v>
      </c>
      <c r="E325">
        <v>17</v>
      </c>
      <c r="F325">
        <v>2</v>
      </c>
      <c r="G325">
        <v>79.77</v>
      </c>
      <c r="H325">
        <v>4</v>
      </c>
      <c r="I325" t="s">
        <v>0</v>
      </c>
      <c r="J325">
        <v>2</v>
      </c>
      <c r="K325" t="s">
        <v>74</v>
      </c>
      <c r="L325" t="s">
        <v>28</v>
      </c>
      <c r="M325" s="1">
        <v>43063</v>
      </c>
      <c r="N325" t="s">
        <v>102</v>
      </c>
      <c r="O325" t="str">
        <f t="shared" si="10"/>
        <v>YES</v>
      </c>
      <c r="P325" t="str">
        <f t="shared" si="11"/>
        <v>NO</v>
      </c>
    </row>
    <row r="326" spans="1:16" x14ac:dyDescent="0.3">
      <c r="A326">
        <v>325</v>
      </c>
      <c r="B326">
        <v>243</v>
      </c>
      <c r="C326">
        <v>447</v>
      </c>
      <c r="D326">
        <v>287</v>
      </c>
      <c r="E326">
        <v>25</v>
      </c>
      <c r="F326">
        <v>0</v>
      </c>
      <c r="G326">
        <v>84.66</v>
      </c>
      <c r="H326">
        <v>4</v>
      </c>
      <c r="I326" t="s">
        <v>4</v>
      </c>
      <c r="J326">
        <v>1</v>
      </c>
      <c r="K326" t="s">
        <v>74</v>
      </c>
      <c r="L326" t="s">
        <v>13</v>
      </c>
      <c r="M326" s="1">
        <v>43071</v>
      </c>
      <c r="N326" t="s">
        <v>102</v>
      </c>
      <c r="O326" t="str">
        <f t="shared" si="10"/>
        <v>YES</v>
      </c>
      <c r="P326" t="str">
        <f t="shared" si="11"/>
        <v>NO</v>
      </c>
    </row>
    <row r="327" spans="1:16" x14ac:dyDescent="0.3">
      <c r="A327">
        <v>326</v>
      </c>
      <c r="B327">
        <v>50</v>
      </c>
      <c r="C327">
        <v>89</v>
      </c>
      <c r="D327">
        <v>58</v>
      </c>
      <c r="E327">
        <v>3</v>
      </c>
      <c r="F327">
        <v>0</v>
      </c>
      <c r="G327">
        <v>86.2</v>
      </c>
      <c r="H327">
        <v>5</v>
      </c>
      <c r="I327" t="s">
        <v>0</v>
      </c>
      <c r="J327">
        <v>3</v>
      </c>
      <c r="K327" t="s">
        <v>74</v>
      </c>
      <c r="L327" t="s">
        <v>13</v>
      </c>
      <c r="M327" s="1">
        <v>43071</v>
      </c>
      <c r="N327" t="s">
        <v>102</v>
      </c>
      <c r="O327" t="str">
        <f t="shared" si="10"/>
        <v>NO</v>
      </c>
      <c r="P327" t="str">
        <f t="shared" si="11"/>
        <v>YES</v>
      </c>
    </row>
    <row r="328" spans="1:16" x14ac:dyDescent="0.3">
      <c r="A328">
        <v>327</v>
      </c>
      <c r="B328">
        <v>5</v>
      </c>
      <c r="C328">
        <v>14</v>
      </c>
      <c r="D328">
        <v>13</v>
      </c>
      <c r="E328">
        <v>0</v>
      </c>
      <c r="F328">
        <v>0</v>
      </c>
      <c r="G328">
        <v>38.46</v>
      </c>
      <c r="H328">
        <v>4</v>
      </c>
      <c r="I328" t="s">
        <v>0</v>
      </c>
      <c r="J328">
        <v>2</v>
      </c>
      <c r="K328" t="s">
        <v>68</v>
      </c>
      <c r="L328" t="s">
        <v>80</v>
      </c>
      <c r="M328" s="1">
        <v>43105</v>
      </c>
      <c r="N328" t="s">
        <v>102</v>
      </c>
      <c r="O328" t="str">
        <f t="shared" si="10"/>
        <v>NO</v>
      </c>
      <c r="P328" t="str">
        <f t="shared" si="11"/>
        <v>NO</v>
      </c>
    </row>
    <row r="329" spans="1:16" x14ac:dyDescent="0.3">
      <c r="A329">
        <v>328</v>
      </c>
      <c r="B329">
        <v>28</v>
      </c>
      <c r="C329">
        <v>62</v>
      </c>
      <c r="D329">
        <v>40</v>
      </c>
      <c r="E329">
        <v>4</v>
      </c>
      <c r="F329">
        <v>0</v>
      </c>
      <c r="G329">
        <v>70</v>
      </c>
      <c r="H329">
        <v>4</v>
      </c>
      <c r="I329" t="s">
        <v>4</v>
      </c>
      <c r="J329">
        <v>4</v>
      </c>
      <c r="K329" t="s">
        <v>68</v>
      </c>
      <c r="L329" t="s">
        <v>80</v>
      </c>
      <c r="M329" s="1">
        <v>43105</v>
      </c>
      <c r="N329" t="s">
        <v>102</v>
      </c>
      <c r="O329" t="str">
        <f t="shared" si="10"/>
        <v>NO</v>
      </c>
      <c r="P329" t="str">
        <f t="shared" si="11"/>
        <v>NO</v>
      </c>
    </row>
    <row r="330" spans="1:16" x14ac:dyDescent="0.3">
      <c r="A330">
        <v>329</v>
      </c>
      <c r="B330">
        <v>153</v>
      </c>
      <c r="C330">
        <v>379</v>
      </c>
      <c r="D330">
        <v>217</v>
      </c>
      <c r="E330">
        <v>15</v>
      </c>
      <c r="F330">
        <v>0</v>
      </c>
      <c r="G330">
        <v>70.5</v>
      </c>
      <c r="H330">
        <v>4</v>
      </c>
      <c r="I330" t="s">
        <v>0</v>
      </c>
      <c r="J330">
        <v>2</v>
      </c>
      <c r="K330" t="s">
        <v>68</v>
      </c>
      <c r="L330" t="s">
        <v>2</v>
      </c>
      <c r="M330" s="1">
        <v>43113</v>
      </c>
      <c r="N330" t="s">
        <v>102</v>
      </c>
      <c r="O330" t="str">
        <f t="shared" si="10"/>
        <v>YES</v>
      </c>
      <c r="P330" t="str">
        <f t="shared" si="11"/>
        <v>NO</v>
      </c>
    </row>
    <row r="331" spans="1:16" x14ac:dyDescent="0.3">
      <c r="A331">
        <v>330</v>
      </c>
      <c r="B331">
        <v>5</v>
      </c>
      <c r="C331">
        <v>22</v>
      </c>
      <c r="D331">
        <v>20</v>
      </c>
      <c r="E331">
        <v>1</v>
      </c>
      <c r="F331">
        <v>0</v>
      </c>
      <c r="G331">
        <v>25</v>
      </c>
      <c r="H331">
        <v>4</v>
      </c>
      <c r="I331" t="s">
        <v>4</v>
      </c>
      <c r="J331">
        <v>4</v>
      </c>
      <c r="K331" t="s">
        <v>68</v>
      </c>
      <c r="L331" t="s">
        <v>2</v>
      </c>
      <c r="M331" s="1">
        <v>43113</v>
      </c>
      <c r="N331" t="s">
        <v>102</v>
      </c>
      <c r="O331" t="str">
        <f t="shared" si="10"/>
        <v>NO</v>
      </c>
      <c r="P331" t="str">
        <f t="shared" si="11"/>
        <v>NO</v>
      </c>
    </row>
    <row r="332" spans="1:16" x14ac:dyDescent="0.3">
      <c r="A332">
        <v>331</v>
      </c>
      <c r="B332">
        <v>54</v>
      </c>
      <c r="C332">
        <v>146</v>
      </c>
      <c r="D332">
        <v>106</v>
      </c>
      <c r="E332">
        <v>9</v>
      </c>
      <c r="F332">
        <v>0</v>
      </c>
      <c r="G332">
        <v>50.94</v>
      </c>
      <c r="H332">
        <v>4</v>
      </c>
      <c r="I332" t="s">
        <v>0</v>
      </c>
      <c r="J332">
        <v>1</v>
      </c>
      <c r="K332" t="s">
        <v>68</v>
      </c>
      <c r="L332" t="s">
        <v>69</v>
      </c>
      <c r="M332" s="1">
        <v>43124</v>
      </c>
      <c r="N332" t="s">
        <v>102</v>
      </c>
      <c r="O332" t="str">
        <f t="shared" si="10"/>
        <v>NO</v>
      </c>
      <c r="P332" t="str">
        <f t="shared" si="11"/>
        <v>YES</v>
      </c>
    </row>
    <row r="333" spans="1:16" x14ac:dyDescent="0.3">
      <c r="A333">
        <v>332</v>
      </c>
      <c r="B333">
        <v>41</v>
      </c>
      <c r="C333">
        <v>131</v>
      </c>
      <c r="D333">
        <v>79</v>
      </c>
      <c r="E333">
        <v>6</v>
      </c>
      <c r="F333">
        <v>0</v>
      </c>
      <c r="G333">
        <v>51.89</v>
      </c>
      <c r="H333">
        <v>5</v>
      </c>
      <c r="I333" t="s">
        <v>7</v>
      </c>
      <c r="J333">
        <v>3</v>
      </c>
      <c r="K333" t="s">
        <v>68</v>
      </c>
      <c r="L333" t="s">
        <v>69</v>
      </c>
      <c r="M333" s="1">
        <v>43124</v>
      </c>
      <c r="N333" t="s">
        <v>102</v>
      </c>
      <c r="O333" t="str">
        <f t="shared" si="10"/>
        <v>NO</v>
      </c>
      <c r="P333" t="str">
        <f t="shared" si="11"/>
        <v>NO</v>
      </c>
    </row>
    <row r="334" spans="1:16" x14ac:dyDescent="0.3">
      <c r="A334">
        <v>333</v>
      </c>
      <c r="B334">
        <v>112</v>
      </c>
      <c r="C334">
        <v>164</v>
      </c>
      <c r="D334">
        <v>119</v>
      </c>
      <c r="E334">
        <v>10</v>
      </c>
      <c r="F334">
        <v>0</v>
      </c>
      <c r="G334">
        <v>94.11</v>
      </c>
      <c r="H334">
        <v>3</v>
      </c>
      <c r="I334" t="s">
        <v>0</v>
      </c>
      <c r="J334">
        <v>2</v>
      </c>
      <c r="K334" t="s">
        <v>68</v>
      </c>
      <c r="L334" t="s">
        <v>70</v>
      </c>
      <c r="M334" s="1">
        <v>43132</v>
      </c>
      <c r="N334" t="s">
        <v>103</v>
      </c>
      <c r="O334" t="str">
        <f t="shared" si="10"/>
        <v>YES</v>
      </c>
      <c r="P334" t="str">
        <f t="shared" si="11"/>
        <v>NO</v>
      </c>
    </row>
    <row r="335" spans="1:16" x14ac:dyDescent="0.3">
      <c r="A335">
        <v>334</v>
      </c>
      <c r="B335">
        <v>46</v>
      </c>
      <c r="C335">
        <v>64</v>
      </c>
      <c r="D335">
        <v>50</v>
      </c>
      <c r="E335">
        <v>4</v>
      </c>
      <c r="F335">
        <v>1</v>
      </c>
      <c r="G335">
        <v>92</v>
      </c>
      <c r="H335">
        <v>3</v>
      </c>
      <c r="I335" t="s">
        <v>66</v>
      </c>
      <c r="J335">
        <v>2</v>
      </c>
      <c r="K335" t="s">
        <v>68</v>
      </c>
      <c r="L335" t="s">
        <v>2</v>
      </c>
      <c r="M335" s="1">
        <v>43135</v>
      </c>
      <c r="N335" t="s">
        <v>103</v>
      </c>
      <c r="O335" t="str">
        <f t="shared" si="10"/>
        <v>NO</v>
      </c>
      <c r="P335" t="str">
        <f t="shared" si="11"/>
        <v>NO</v>
      </c>
    </row>
    <row r="336" spans="1:16" x14ac:dyDescent="0.3">
      <c r="A336">
        <v>335</v>
      </c>
      <c r="B336">
        <v>160</v>
      </c>
      <c r="C336">
        <v>220</v>
      </c>
      <c r="D336">
        <v>159</v>
      </c>
      <c r="E336">
        <v>12</v>
      </c>
      <c r="F336">
        <v>2</v>
      </c>
      <c r="G336">
        <v>100.62</v>
      </c>
      <c r="H336">
        <v>3</v>
      </c>
      <c r="I336" t="s">
        <v>66</v>
      </c>
      <c r="J336">
        <v>1</v>
      </c>
      <c r="K336" t="s">
        <v>68</v>
      </c>
      <c r="L336" t="s">
        <v>80</v>
      </c>
      <c r="M336" s="1">
        <v>43138</v>
      </c>
      <c r="N336" t="s">
        <v>103</v>
      </c>
      <c r="O336" t="str">
        <f t="shared" si="10"/>
        <v>YES</v>
      </c>
      <c r="P336" t="str">
        <f t="shared" si="11"/>
        <v>NO</v>
      </c>
    </row>
    <row r="337" spans="1:16" x14ac:dyDescent="0.3">
      <c r="A337">
        <v>336</v>
      </c>
      <c r="B337">
        <v>75</v>
      </c>
      <c r="C337">
        <v>119</v>
      </c>
      <c r="D337">
        <v>83</v>
      </c>
      <c r="E337">
        <v>7</v>
      </c>
      <c r="F337">
        <v>1</v>
      </c>
      <c r="G337">
        <v>90.36</v>
      </c>
      <c r="H337">
        <v>3</v>
      </c>
      <c r="I337" t="s">
        <v>0</v>
      </c>
      <c r="J337">
        <v>1</v>
      </c>
      <c r="K337" t="s">
        <v>68</v>
      </c>
      <c r="L337" t="s">
        <v>69</v>
      </c>
      <c r="M337" s="1">
        <v>43141</v>
      </c>
      <c r="N337" t="s">
        <v>103</v>
      </c>
      <c r="O337" t="str">
        <f t="shared" si="10"/>
        <v>NO</v>
      </c>
      <c r="P337" t="str">
        <f t="shared" si="11"/>
        <v>YES</v>
      </c>
    </row>
    <row r="338" spans="1:16" x14ac:dyDescent="0.3">
      <c r="A338">
        <v>337</v>
      </c>
      <c r="B338">
        <v>36</v>
      </c>
      <c r="C338">
        <v>76</v>
      </c>
      <c r="D338">
        <v>54</v>
      </c>
      <c r="E338">
        <v>2</v>
      </c>
      <c r="F338">
        <v>0</v>
      </c>
      <c r="G338">
        <v>66.66</v>
      </c>
      <c r="H338">
        <v>3</v>
      </c>
      <c r="I338" t="s">
        <v>64</v>
      </c>
      <c r="J338">
        <v>1</v>
      </c>
      <c r="K338" t="s">
        <v>68</v>
      </c>
      <c r="L338" t="s">
        <v>93</v>
      </c>
      <c r="M338" s="1">
        <v>43144</v>
      </c>
      <c r="N338" t="s">
        <v>103</v>
      </c>
      <c r="O338" t="str">
        <f t="shared" si="10"/>
        <v>NO</v>
      </c>
      <c r="P338" t="str">
        <f t="shared" si="11"/>
        <v>NO</v>
      </c>
    </row>
    <row r="339" spans="1:16" x14ac:dyDescent="0.3">
      <c r="A339">
        <v>338</v>
      </c>
      <c r="B339">
        <v>129</v>
      </c>
      <c r="C339">
        <v>123</v>
      </c>
      <c r="D339">
        <v>96</v>
      </c>
      <c r="E339">
        <v>19</v>
      </c>
      <c r="F339">
        <v>2</v>
      </c>
      <c r="G339">
        <v>134.37</v>
      </c>
      <c r="H339">
        <v>3</v>
      </c>
      <c r="I339" t="s">
        <v>66</v>
      </c>
      <c r="J339">
        <v>2</v>
      </c>
      <c r="K339" t="s">
        <v>68</v>
      </c>
      <c r="L339" t="s">
        <v>2</v>
      </c>
      <c r="M339" s="1">
        <v>43147</v>
      </c>
      <c r="N339" t="s">
        <v>103</v>
      </c>
      <c r="O339" t="str">
        <f t="shared" si="10"/>
        <v>YES</v>
      </c>
      <c r="P339" t="str">
        <f t="shared" si="11"/>
        <v>NO</v>
      </c>
    </row>
    <row r="340" spans="1:16" x14ac:dyDescent="0.3">
      <c r="A340">
        <v>339</v>
      </c>
      <c r="B340">
        <v>26</v>
      </c>
      <c r="C340">
        <v>26</v>
      </c>
      <c r="D340">
        <v>20</v>
      </c>
      <c r="E340">
        <v>2</v>
      </c>
      <c r="F340">
        <v>1</v>
      </c>
      <c r="G340">
        <v>130</v>
      </c>
      <c r="H340">
        <v>4</v>
      </c>
      <c r="I340" t="s">
        <v>4</v>
      </c>
      <c r="J340">
        <v>1</v>
      </c>
      <c r="K340" t="s">
        <v>68</v>
      </c>
      <c r="L340" t="s">
        <v>69</v>
      </c>
      <c r="M340" s="1">
        <v>43149</v>
      </c>
      <c r="N340" t="s">
        <v>104</v>
      </c>
      <c r="O340" t="str">
        <f t="shared" si="10"/>
        <v>NO</v>
      </c>
      <c r="P340" t="str">
        <f t="shared" si="11"/>
        <v>NO</v>
      </c>
    </row>
    <row r="341" spans="1:16" x14ac:dyDescent="0.3">
      <c r="A341">
        <v>340</v>
      </c>
      <c r="B341">
        <v>1</v>
      </c>
      <c r="C341">
        <v>6</v>
      </c>
      <c r="D341">
        <v>5</v>
      </c>
      <c r="E341">
        <v>0</v>
      </c>
      <c r="F341">
        <v>0</v>
      </c>
      <c r="G341">
        <v>20</v>
      </c>
      <c r="H341">
        <v>4</v>
      </c>
      <c r="I341" t="s">
        <v>0</v>
      </c>
      <c r="J341">
        <v>1</v>
      </c>
      <c r="K341" t="s">
        <v>68</v>
      </c>
      <c r="L341" t="s">
        <v>2</v>
      </c>
      <c r="M341" s="1">
        <v>43152</v>
      </c>
      <c r="N341" t="s">
        <v>104</v>
      </c>
      <c r="O341" t="str">
        <f t="shared" si="10"/>
        <v>NO</v>
      </c>
      <c r="P341" t="str">
        <f t="shared" si="11"/>
        <v>NO</v>
      </c>
    </row>
    <row r="342" spans="1:16" x14ac:dyDescent="0.3">
      <c r="A342">
        <v>341</v>
      </c>
      <c r="B342">
        <v>0</v>
      </c>
      <c r="C342">
        <v>1</v>
      </c>
      <c r="D342">
        <v>2</v>
      </c>
      <c r="E342">
        <v>0</v>
      </c>
      <c r="F342">
        <v>0</v>
      </c>
      <c r="G342">
        <v>0</v>
      </c>
      <c r="H342">
        <v>6</v>
      </c>
      <c r="I342" t="s">
        <v>0</v>
      </c>
      <c r="J342">
        <v>1</v>
      </c>
      <c r="K342" t="s">
        <v>88</v>
      </c>
      <c r="L342" t="s">
        <v>48</v>
      </c>
      <c r="M342" s="1">
        <v>43278</v>
      </c>
      <c r="N342" t="s">
        <v>104</v>
      </c>
      <c r="O342" t="str">
        <f t="shared" si="10"/>
        <v>NO</v>
      </c>
      <c r="P342" t="str">
        <f t="shared" si="11"/>
        <v>NO</v>
      </c>
    </row>
    <row r="343" spans="1:16" x14ac:dyDescent="0.3">
      <c r="A343">
        <v>342</v>
      </c>
      <c r="B343">
        <v>9</v>
      </c>
      <c r="C343">
        <v>5</v>
      </c>
      <c r="D343">
        <v>8</v>
      </c>
      <c r="E343">
        <v>1</v>
      </c>
      <c r="F343">
        <v>0</v>
      </c>
      <c r="G343">
        <v>112.5</v>
      </c>
      <c r="H343">
        <v>2</v>
      </c>
      <c r="I343" t="s">
        <v>0</v>
      </c>
      <c r="J343">
        <v>1</v>
      </c>
      <c r="K343" t="s">
        <v>88</v>
      </c>
      <c r="L343" t="s">
        <v>48</v>
      </c>
      <c r="M343" s="1">
        <v>43280</v>
      </c>
      <c r="N343" t="s">
        <v>104</v>
      </c>
      <c r="O343" t="str">
        <f t="shared" si="10"/>
        <v>NO</v>
      </c>
      <c r="P343" t="str">
        <f t="shared" si="11"/>
        <v>NO</v>
      </c>
    </row>
    <row r="344" spans="1:16" x14ac:dyDescent="0.3">
      <c r="A344">
        <v>343</v>
      </c>
      <c r="B344">
        <v>20</v>
      </c>
      <c r="C344">
        <v>15</v>
      </c>
      <c r="D344">
        <v>22</v>
      </c>
      <c r="E344">
        <v>0</v>
      </c>
      <c r="F344">
        <v>1</v>
      </c>
      <c r="G344">
        <v>90.9</v>
      </c>
      <c r="H344">
        <v>4</v>
      </c>
      <c r="I344" t="s">
        <v>66</v>
      </c>
      <c r="J344">
        <v>2</v>
      </c>
      <c r="K344" t="s">
        <v>67</v>
      </c>
      <c r="L344" t="s">
        <v>15</v>
      </c>
      <c r="M344" s="1">
        <v>43284</v>
      </c>
      <c r="N344" t="s">
        <v>104</v>
      </c>
      <c r="O344" t="str">
        <f t="shared" si="10"/>
        <v>NO</v>
      </c>
      <c r="P344" t="str">
        <f t="shared" si="11"/>
        <v>NO</v>
      </c>
    </row>
    <row r="345" spans="1:16" x14ac:dyDescent="0.3">
      <c r="A345">
        <v>344</v>
      </c>
      <c r="B345">
        <v>47</v>
      </c>
      <c r="C345">
        <v>45</v>
      </c>
      <c r="D345">
        <v>38</v>
      </c>
      <c r="E345">
        <v>1</v>
      </c>
      <c r="F345">
        <v>2</v>
      </c>
      <c r="G345">
        <v>123.68</v>
      </c>
      <c r="H345">
        <v>4</v>
      </c>
      <c r="I345" t="s">
        <v>0</v>
      </c>
      <c r="J345">
        <v>1</v>
      </c>
      <c r="K345" t="s">
        <v>67</v>
      </c>
      <c r="L345" t="s">
        <v>18</v>
      </c>
      <c r="M345" s="1">
        <v>43287</v>
      </c>
      <c r="N345" t="s">
        <v>104</v>
      </c>
      <c r="O345" t="str">
        <f t="shared" si="10"/>
        <v>NO</v>
      </c>
      <c r="P345" t="str">
        <f t="shared" si="11"/>
        <v>NO</v>
      </c>
    </row>
    <row r="346" spans="1:16" x14ac:dyDescent="0.3">
      <c r="A346">
        <v>345</v>
      </c>
      <c r="B346">
        <v>43</v>
      </c>
      <c r="C346">
        <v>20</v>
      </c>
      <c r="D346">
        <v>29</v>
      </c>
      <c r="E346">
        <v>2</v>
      </c>
      <c r="F346">
        <v>2</v>
      </c>
      <c r="G346">
        <v>148.27000000000001</v>
      </c>
      <c r="H346">
        <v>4</v>
      </c>
      <c r="I346" t="s">
        <v>0</v>
      </c>
      <c r="J346">
        <v>2</v>
      </c>
      <c r="K346" t="s">
        <v>67</v>
      </c>
      <c r="L346" t="s">
        <v>49</v>
      </c>
      <c r="M346" s="1">
        <v>43289</v>
      </c>
      <c r="N346" t="s">
        <v>104</v>
      </c>
      <c r="O346" t="str">
        <f t="shared" si="10"/>
        <v>NO</v>
      </c>
      <c r="P346" t="str">
        <f t="shared" si="11"/>
        <v>NO</v>
      </c>
    </row>
    <row r="347" spans="1:16" x14ac:dyDescent="0.3">
      <c r="A347">
        <v>346</v>
      </c>
      <c r="B347">
        <v>75</v>
      </c>
      <c r="C347">
        <v>40</v>
      </c>
      <c r="D347">
        <v>82</v>
      </c>
      <c r="E347">
        <v>7</v>
      </c>
      <c r="F347">
        <v>0</v>
      </c>
      <c r="G347">
        <v>91.46</v>
      </c>
      <c r="H347">
        <v>3</v>
      </c>
      <c r="I347" t="s">
        <v>37</v>
      </c>
      <c r="J347">
        <v>2</v>
      </c>
      <c r="K347" t="s">
        <v>67</v>
      </c>
      <c r="L347" t="s">
        <v>39</v>
      </c>
      <c r="M347" s="1">
        <v>43293</v>
      </c>
      <c r="N347" t="s">
        <v>103</v>
      </c>
      <c r="O347" t="str">
        <f t="shared" si="10"/>
        <v>NO</v>
      </c>
      <c r="P347" t="str">
        <f t="shared" si="11"/>
        <v>YES</v>
      </c>
    </row>
    <row r="348" spans="1:16" x14ac:dyDescent="0.3">
      <c r="A348">
        <v>347</v>
      </c>
      <c r="B348">
        <v>45</v>
      </c>
      <c r="C348">
        <v>30</v>
      </c>
      <c r="D348">
        <v>56</v>
      </c>
      <c r="E348">
        <v>2</v>
      </c>
      <c r="F348">
        <v>0</v>
      </c>
      <c r="G348">
        <v>80.349999999999994</v>
      </c>
      <c r="H348">
        <v>3</v>
      </c>
      <c r="I348" t="s">
        <v>4</v>
      </c>
      <c r="J348">
        <v>2</v>
      </c>
      <c r="K348" t="s">
        <v>67</v>
      </c>
      <c r="L348" t="s">
        <v>72</v>
      </c>
      <c r="M348" s="1">
        <v>43295</v>
      </c>
      <c r="N348" t="s">
        <v>103</v>
      </c>
      <c r="O348" t="str">
        <f t="shared" si="10"/>
        <v>NO</v>
      </c>
      <c r="P348" t="str">
        <f t="shared" si="11"/>
        <v>NO</v>
      </c>
    </row>
    <row r="349" spans="1:16" x14ac:dyDescent="0.3">
      <c r="A349">
        <v>348</v>
      </c>
      <c r="B349">
        <v>71</v>
      </c>
      <c r="C349">
        <v>98</v>
      </c>
      <c r="D349">
        <v>72</v>
      </c>
      <c r="E349">
        <v>8</v>
      </c>
      <c r="F349">
        <v>0</v>
      </c>
      <c r="G349">
        <v>98.61</v>
      </c>
      <c r="H349">
        <v>3</v>
      </c>
      <c r="I349" t="s">
        <v>7</v>
      </c>
      <c r="J349">
        <v>1</v>
      </c>
      <c r="K349" t="s">
        <v>67</v>
      </c>
      <c r="L349" t="s">
        <v>40</v>
      </c>
      <c r="M349" s="1">
        <v>43298</v>
      </c>
      <c r="N349" t="s">
        <v>103</v>
      </c>
      <c r="O349" t="str">
        <f t="shared" si="10"/>
        <v>NO</v>
      </c>
      <c r="P349" t="str">
        <f t="shared" si="11"/>
        <v>YES</v>
      </c>
    </row>
    <row r="350" spans="1:16" x14ac:dyDescent="0.3">
      <c r="A350">
        <v>349</v>
      </c>
      <c r="B350">
        <v>149</v>
      </c>
      <c r="C350">
        <v>277</v>
      </c>
      <c r="D350">
        <v>225</v>
      </c>
      <c r="E350">
        <v>22</v>
      </c>
      <c r="F350">
        <v>1</v>
      </c>
      <c r="G350">
        <v>66.22</v>
      </c>
      <c r="H350">
        <v>4</v>
      </c>
      <c r="I350" t="s">
        <v>0</v>
      </c>
      <c r="J350">
        <v>2</v>
      </c>
      <c r="K350" t="s">
        <v>67</v>
      </c>
      <c r="L350" t="s">
        <v>35</v>
      </c>
      <c r="M350" s="1">
        <v>43313</v>
      </c>
      <c r="N350" t="s">
        <v>102</v>
      </c>
      <c r="O350" t="str">
        <f t="shared" si="10"/>
        <v>YES</v>
      </c>
      <c r="P350" t="str">
        <f t="shared" si="11"/>
        <v>NO</v>
      </c>
    </row>
    <row r="351" spans="1:16" x14ac:dyDescent="0.3">
      <c r="A351">
        <v>350</v>
      </c>
      <c r="B351">
        <v>51</v>
      </c>
      <c r="C351">
        <v>185</v>
      </c>
      <c r="D351">
        <v>93</v>
      </c>
      <c r="E351">
        <v>4</v>
      </c>
      <c r="F351">
        <v>0</v>
      </c>
      <c r="G351">
        <v>54.83</v>
      </c>
      <c r="H351">
        <v>4</v>
      </c>
      <c r="I351" t="s">
        <v>4</v>
      </c>
      <c r="J351">
        <v>4</v>
      </c>
      <c r="K351" t="s">
        <v>67</v>
      </c>
      <c r="L351" t="s">
        <v>35</v>
      </c>
      <c r="M351" s="1">
        <v>43313</v>
      </c>
      <c r="N351" t="s">
        <v>102</v>
      </c>
      <c r="O351" t="str">
        <f t="shared" si="10"/>
        <v>NO</v>
      </c>
      <c r="P351" t="str">
        <f t="shared" si="11"/>
        <v>YES</v>
      </c>
    </row>
    <row r="352" spans="1:16" x14ac:dyDescent="0.3">
      <c r="A352">
        <v>351</v>
      </c>
      <c r="B352">
        <v>23</v>
      </c>
      <c r="C352">
        <v>73</v>
      </c>
      <c r="D352">
        <v>57</v>
      </c>
      <c r="E352">
        <v>2</v>
      </c>
      <c r="F352">
        <v>0</v>
      </c>
      <c r="G352">
        <v>40.35</v>
      </c>
      <c r="H352">
        <v>4</v>
      </c>
      <c r="I352" t="s">
        <v>0</v>
      </c>
      <c r="J352">
        <v>1</v>
      </c>
      <c r="K352" t="s">
        <v>67</v>
      </c>
      <c r="L352" t="s">
        <v>72</v>
      </c>
      <c r="M352" s="1">
        <v>43321</v>
      </c>
      <c r="N352" t="s">
        <v>102</v>
      </c>
      <c r="O352" t="str">
        <f t="shared" si="10"/>
        <v>NO</v>
      </c>
      <c r="P352" t="str">
        <f t="shared" si="11"/>
        <v>NO</v>
      </c>
    </row>
    <row r="353" spans="1:16" x14ac:dyDescent="0.3">
      <c r="A353">
        <v>352</v>
      </c>
      <c r="B353">
        <v>17</v>
      </c>
      <c r="C353">
        <v>57</v>
      </c>
      <c r="D353">
        <v>29</v>
      </c>
      <c r="E353">
        <v>2</v>
      </c>
      <c r="F353">
        <v>0</v>
      </c>
      <c r="G353">
        <v>58.62</v>
      </c>
      <c r="H353">
        <v>5</v>
      </c>
      <c r="I353" t="s">
        <v>0</v>
      </c>
      <c r="J353">
        <v>3</v>
      </c>
      <c r="K353" t="s">
        <v>67</v>
      </c>
      <c r="L353" t="s">
        <v>72</v>
      </c>
      <c r="M353" s="1">
        <v>43321</v>
      </c>
      <c r="N353" t="s">
        <v>102</v>
      </c>
      <c r="O353" t="str">
        <f t="shared" si="10"/>
        <v>NO</v>
      </c>
      <c r="P353" t="str">
        <f t="shared" si="11"/>
        <v>NO</v>
      </c>
    </row>
    <row r="354" spans="1:16" x14ac:dyDescent="0.3">
      <c r="A354">
        <v>353</v>
      </c>
      <c r="B354">
        <v>97</v>
      </c>
      <c r="C354">
        <v>243</v>
      </c>
      <c r="D354">
        <v>152</v>
      </c>
      <c r="E354">
        <v>11</v>
      </c>
      <c r="F354">
        <v>0</v>
      </c>
      <c r="G354">
        <v>63.81</v>
      </c>
      <c r="H354">
        <v>4</v>
      </c>
      <c r="I354" t="s">
        <v>0</v>
      </c>
      <c r="J354">
        <v>1</v>
      </c>
      <c r="K354" t="s">
        <v>67</v>
      </c>
      <c r="L354" t="s">
        <v>39</v>
      </c>
      <c r="M354" s="1">
        <v>43330</v>
      </c>
      <c r="N354" t="s">
        <v>102</v>
      </c>
      <c r="O354" t="str">
        <f t="shared" si="10"/>
        <v>NO</v>
      </c>
      <c r="P354" t="str">
        <f t="shared" si="11"/>
        <v>YES</v>
      </c>
    </row>
    <row r="355" spans="1:16" x14ac:dyDescent="0.3">
      <c r="A355">
        <v>354</v>
      </c>
      <c r="B355">
        <v>103</v>
      </c>
      <c r="C355">
        <v>292</v>
      </c>
      <c r="D355">
        <v>197</v>
      </c>
      <c r="E355">
        <v>10</v>
      </c>
      <c r="F355">
        <v>0</v>
      </c>
      <c r="G355">
        <v>52.28</v>
      </c>
      <c r="H355">
        <v>4</v>
      </c>
      <c r="I355" t="s">
        <v>4</v>
      </c>
      <c r="J355">
        <v>3</v>
      </c>
      <c r="K355" t="s">
        <v>67</v>
      </c>
      <c r="L355" t="s">
        <v>39</v>
      </c>
      <c r="M355" s="1">
        <v>43330</v>
      </c>
      <c r="N355" t="s">
        <v>102</v>
      </c>
      <c r="O355" t="str">
        <f t="shared" si="10"/>
        <v>YES</v>
      </c>
      <c r="P355" t="str">
        <f t="shared" si="11"/>
        <v>NO</v>
      </c>
    </row>
    <row r="356" spans="1:16" x14ac:dyDescent="0.3">
      <c r="A356">
        <v>355</v>
      </c>
      <c r="B356">
        <v>46</v>
      </c>
      <c r="C356">
        <v>100</v>
      </c>
      <c r="D356">
        <v>71</v>
      </c>
      <c r="E356">
        <v>6</v>
      </c>
      <c r="F356">
        <v>0</v>
      </c>
      <c r="G356">
        <v>64.78</v>
      </c>
      <c r="H356">
        <v>4</v>
      </c>
      <c r="I356" t="s">
        <v>0</v>
      </c>
      <c r="J356">
        <v>2</v>
      </c>
      <c r="K356" t="s">
        <v>67</v>
      </c>
      <c r="L356" t="s">
        <v>16</v>
      </c>
      <c r="M356" s="1">
        <v>43342</v>
      </c>
      <c r="N356" t="s">
        <v>102</v>
      </c>
      <c r="O356" t="str">
        <f t="shared" si="10"/>
        <v>NO</v>
      </c>
      <c r="P356" t="str">
        <f t="shared" si="11"/>
        <v>NO</v>
      </c>
    </row>
    <row r="357" spans="1:16" x14ac:dyDescent="0.3">
      <c r="A357">
        <v>356</v>
      </c>
      <c r="B357">
        <v>58</v>
      </c>
      <c r="C357">
        <v>170</v>
      </c>
      <c r="D357">
        <v>130</v>
      </c>
      <c r="E357">
        <v>4</v>
      </c>
      <c r="F357">
        <v>0</v>
      </c>
      <c r="G357">
        <v>44.61</v>
      </c>
      <c r="H357">
        <v>4</v>
      </c>
      <c r="I357" t="s">
        <v>0</v>
      </c>
      <c r="J357">
        <v>4</v>
      </c>
      <c r="K357" t="s">
        <v>67</v>
      </c>
      <c r="L357" t="s">
        <v>16</v>
      </c>
      <c r="M357" s="1">
        <v>43342</v>
      </c>
      <c r="N357" t="s">
        <v>102</v>
      </c>
      <c r="O357" t="str">
        <f t="shared" si="10"/>
        <v>NO</v>
      </c>
      <c r="P357" t="str">
        <f t="shared" si="11"/>
        <v>YES</v>
      </c>
    </row>
    <row r="358" spans="1:16" x14ac:dyDescent="0.3">
      <c r="A358">
        <v>357</v>
      </c>
      <c r="B358">
        <v>49</v>
      </c>
      <c r="C358">
        <v>112</v>
      </c>
      <c r="D358">
        <v>70</v>
      </c>
      <c r="E358">
        <v>6</v>
      </c>
      <c r="F358">
        <v>0</v>
      </c>
      <c r="G358">
        <v>70</v>
      </c>
      <c r="H358">
        <v>4</v>
      </c>
      <c r="I358" t="s">
        <v>0</v>
      </c>
      <c r="J358">
        <v>2</v>
      </c>
      <c r="K358" t="s">
        <v>67</v>
      </c>
      <c r="L358" t="s">
        <v>17</v>
      </c>
      <c r="M358" s="1">
        <v>43350</v>
      </c>
      <c r="N358" t="s">
        <v>102</v>
      </c>
      <c r="O358" t="str">
        <f t="shared" si="10"/>
        <v>NO</v>
      </c>
      <c r="P358" t="str">
        <f t="shared" si="11"/>
        <v>NO</v>
      </c>
    </row>
    <row r="359" spans="1:16" x14ac:dyDescent="0.3">
      <c r="A359">
        <v>358</v>
      </c>
      <c r="B359">
        <v>0</v>
      </c>
      <c r="C359">
        <v>3</v>
      </c>
      <c r="D359">
        <v>1</v>
      </c>
      <c r="E359">
        <v>0</v>
      </c>
      <c r="F359">
        <v>0</v>
      </c>
      <c r="G359">
        <v>0</v>
      </c>
      <c r="H359">
        <v>4</v>
      </c>
      <c r="I359" t="s">
        <v>0</v>
      </c>
      <c r="J359">
        <v>4</v>
      </c>
      <c r="K359" t="s">
        <v>67</v>
      </c>
      <c r="L359" t="s">
        <v>17</v>
      </c>
      <c r="M359" s="1">
        <v>43350</v>
      </c>
      <c r="N359" t="s">
        <v>102</v>
      </c>
      <c r="O359" t="str">
        <f t="shared" si="10"/>
        <v>NO</v>
      </c>
      <c r="P359" t="str">
        <f t="shared" si="11"/>
        <v>NO</v>
      </c>
    </row>
    <row r="360" spans="1:16" x14ac:dyDescent="0.3">
      <c r="A360">
        <v>359</v>
      </c>
      <c r="B360">
        <v>139</v>
      </c>
      <c r="C360">
        <v>341</v>
      </c>
      <c r="D360">
        <v>230</v>
      </c>
      <c r="E360">
        <v>10</v>
      </c>
      <c r="F360">
        <v>0</v>
      </c>
      <c r="G360">
        <v>60.43</v>
      </c>
      <c r="H360">
        <v>4</v>
      </c>
      <c r="I360" t="s">
        <v>0</v>
      </c>
      <c r="J360">
        <v>1</v>
      </c>
      <c r="K360" t="s">
        <v>60</v>
      </c>
      <c r="L360" t="s">
        <v>31</v>
      </c>
      <c r="M360" s="1">
        <v>43377</v>
      </c>
      <c r="N360" t="s">
        <v>102</v>
      </c>
      <c r="O360" t="str">
        <f t="shared" si="10"/>
        <v>YES</v>
      </c>
      <c r="P360" t="str">
        <f t="shared" si="11"/>
        <v>NO</v>
      </c>
    </row>
    <row r="361" spans="1:16" x14ac:dyDescent="0.3">
      <c r="A361">
        <v>360</v>
      </c>
      <c r="B361">
        <v>45</v>
      </c>
      <c r="C361">
        <v>86</v>
      </c>
      <c r="D361">
        <v>78</v>
      </c>
      <c r="E361">
        <v>5</v>
      </c>
      <c r="F361">
        <v>0</v>
      </c>
      <c r="G361">
        <v>57.69</v>
      </c>
      <c r="H361">
        <v>4</v>
      </c>
      <c r="I361" t="s">
        <v>4</v>
      </c>
      <c r="J361">
        <v>2</v>
      </c>
      <c r="K361" t="s">
        <v>60</v>
      </c>
      <c r="L361" t="s">
        <v>19</v>
      </c>
      <c r="M361" s="1">
        <v>43385</v>
      </c>
      <c r="N361" t="s">
        <v>102</v>
      </c>
      <c r="O361" t="str">
        <f t="shared" si="10"/>
        <v>NO</v>
      </c>
      <c r="P361" t="str">
        <f t="shared" si="11"/>
        <v>NO</v>
      </c>
    </row>
    <row r="362" spans="1:16" x14ac:dyDescent="0.3">
      <c r="A362">
        <v>361</v>
      </c>
      <c r="B362">
        <v>140</v>
      </c>
      <c r="C362">
        <v>170</v>
      </c>
      <c r="D362">
        <v>107</v>
      </c>
      <c r="E362">
        <v>21</v>
      </c>
      <c r="F362">
        <v>2</v>
      </c>
      <c r="G362">
        <v>130.84</v>
      </c>
      <c r="H362">
        <v>3</v>
      </c>
      <c r="I362" t="s">
        <v>37</v>
      </c>
      <c r="J362">
        <v>2</v>
      </c>
      <c r="K362" t="s">
        <v>60</v>
      </c>
      <c r="L362" t="s">
        <v>47</v>
      </c>
      <c r="M362" s="1">
        <v>43394</v>
      </c>
      <c r="N362" t="s">
        <v>103</v>
      </c>
      <c r="O362" t="str">
        <f t="shared" si="10"/>
        <v>YES</v>
      </c>
      <c r="P362" t="str">
        <f t="shared" si="11"/>
        <v>NO</v>
      </c>
    </row>
    <row r="363" spans="1:16" x14ac:dyDescent="0.3">
      <c r="A363">
        <v>362</v>
      </c>
      <c r="B363">
        <v>157</v>
      </c>
      <c r="C363">
        <v>217</v>
      </c>
      <c r="D363">
        <v>129</v>
      </c>
      <c r="E363">
        <v>13</v>
      </c>
      <c r="F363">
        <v>4</v>
      </c>
      <c r="G363">
        <v>121.7</v>
      </c>
      <c r="H363">
        <v>3</v>
      </c>
      <c r="I363" t="s">
        <v>66</v>
      </c>
      <c r="J363">
        <v>1</v>
      </c>
      <c r="K363" t="s">
        <v>60</v>
      </c>
      <c r="L363" t="s">
        <v>11</v>
      </c>
      <c r="M363" s="1">
        <v>43397</v>
      </c>
      <c r="N363" t="s">
        <v>103</v>
      </c>
      <c r="O363" t="str">
        <f t="shared" si="10"/>
        <v>YES</v>
      </c>
      <c r="P363" t="str">
        <f t="shared" si="11"/>
        <v>NO</v>
      </c>
    </row>
    <row r="364" spans="1:16" x14ac:dyDescent="0.3">
      <c r="A364">
        <v>363</v>
      </c>
      <c r="B364">
        <v>107</v>
      </c>
      <c r="C364">
        <v>100</v>
      </c>
      <c r="D364">
        <v>119</v>
      </c>
      <c r="E364">
        <v>10</v>
      </c>
      <c r="F364">
        <v>1</v>
      </c>
      <c r="G364">
        <v>89.91</v>
      </c>
      <c r="H364">
        <v>3</v>
      </c>
      <c r="I364" t="s">
        <v>7</v>
      </c>
      <c r="J364">
        <v>2</v>
      </c>
      <c r="K364" t="s">
        <v>60</v>
      </c>
      <c r="L364" t="s">
        <v>29</v>
      </c>
      <c r="M364" s="1">
        <v>43400</v>
      </c>
      <c r="N364" t="s">
        <v>103</v>
      </c>
      <c r="O364" t="str">
        <f t="shared" si="10"/>
        <v>YES</v>
      </c>
      <c r="P364" t="str">
        <f t="shared" si="11"/>
        <v>NO</v>
      </c>
    </row>
    <row r="365" spans="1:16" x14ac:dyDescent="0.3">
      <c r="A365">
        <v>364</v>
      </c>
      <c r="B365">
        <v>16</v>
      </c>
      <c r="C365">
        <v>20</v>
      </c>
      <c r="D365">
        <v>17</v>
      </c>
      <c r="E365">
        <v>2</v>
      </c>
      <c r="F365">
        <v>0</v>
      </c>
      <c r="G365">
        <v>94.11</v>
      </c>
      <c r="H365">
        <v>3</v>
      </c>
      <c r="I365" t="s">
        <v>0</v>
      </c>
      <c r="J365">
        <v>1</v>
      </c>
      <c r="K365" t="s">
        <v>60</v>
      </c>
      <c r="L365" t="s">
        <v>98</v>
      </c>
      <c r="M365" s="1">
        <v>43402</v>
      </c>
      <c r="N365" t="s">
        <v>103</v>
      </c>
      <c r="O365" t="str">
        <f t="shared" si="10"/>
        <v>NO</v>
      </c>
      <c r="P365" t="str">
        <f t="shared" si="11"/>
        <v>NO</v>
      </c>
    </row>
    <row r="366" spans="1:16" x14ac:dyDescent="0.3">
      <c r="A366">
        <v>365</v>
      </c>
      <c r="B366">
        <v>33</v>
      </c>
      <c r="C366">
        <v>57</v>
      </c>
      <c r="D366">
        <v>29</v>
      </c>
      <c r="E366">
        <v>6</v>
      </c>
      <c r="F366">
        <v>0</v>
      </c>
      <c r="G366">
        <v>113.79</v>
      </c>
      <c r="H366">
        <v>3</v>
      </c>
      <c r="I366" t="s">
        <v>66</v>
      </c>
      <c r="J366">
        <v>2</v>
      </c>
      <c r="K366" t="s">
        <v>60</v>
      </c>
      <c r="L366" t="s">
        <v>87</v>
      </c>
      <c r="M366" s="1">
        <v>43405</v>
      </c>
      <c r="N366" t="s">
        <v>103</v>
      </c>
      <c r="O366" t="str">
        <f t="shared" si="10"/>
        <v>NO</v>
      </c>
      <c r="P366" t="str">
        <f t="shared" si="11"/>
        <v>NO</v>
      </c>
    </row>
    <row r="367" spans="1:16" x14ac:dyDescent="0.3">
      <c r="A367">
        <v>366</v>
      </c>
      <c r="B367">
        <v>4</v>
      </c>
      <c r="C367">
        <v>2</v>
      </c>
      <c r="D367">
        <v>8</v>
      </c>
      <c r="E367">
        <v>0</v>
      </c>
      <c r="F367">
        <v>0</v>
      </c>
      <c r="G367">
        <v>50</v>
      </c>
      <c r="H367">
        <v>4</v>
      </c>
      <c r="I367" t="s">
        <v>0</v>
      </c>
      <c r="J367">
        <v>2</v>
      </c>
      <c r="K367" t="s">
        <v>63</v>
      </c>
      <c r="L367" t="s">
        <v>26</v>
      </c>
      <c r="M367" s="1">
        <v>43425</v>
      </c>
      <c r="N367" t="s">
        <v>104</v>
      </c>
      <c r="O367" t="str">
        <f t="shared" si="10"/>
        <v>NO</v>
      </c>
      <c r="P367" t="str">
        <f t="shared" si="11"/>
        <v>NO</v>
      </c>
    </row>
    <row r="368" spans="1:16" x14ac:dyDescent="0.3">
      <c r="A368">
        <v>367</v>
      </c>
      <c r="B368">
        <v>61</v>
      </c>
      <c r="C368">
        <v>40</v>
      </c>
      <c r="D368">
        <v>41</v>
      </c>
      <c r="E368">
        <v>4</v>
      </c>
      <c r="F368">
        <v>2</v>
      </c>
      <c r="G368">
        <v>148.78</v>
      </c>
      <c r="H368">
        <v>3</v>
      </c>
      <c r="I368" t="s">
        <v>66</v>
      </c>
      <c r="J368">
        <v>2</v>
      </c>
      <c r="K368" t="s">
        <v>63</v>
      </c>
      <c r="L368" t="s">
        <v>23</v>
      </c>
      <c r="M368" s="1">
        <v>43429</v>
      </c>
      <c r="N368" t="s">
        <v>104</v>
      </c>
      <c r="O368" t="str">
        <f t="shared" si="10"/>
        <v>NO</v>
      </c>
      <c r="P368" t="str">
        <f t="shared" si="11"/>
        <v>YES</v>
      </c>
    </row>
    <row r="369" spans="1:16" x14ac:dyDescent="0.3">
      <c r="A369">
        <v>368</v>
      </c>
      <c r="B369">
        <v>3</v>
      </c>
      <c r="C369">
        <v>17</v>
      </c>
      <c r="D369">
        <v>16</v>
      </c>
      <c r="E369">
        <v>0</v>
      </c>
      <c r="F369">
        <v>0</v>
      </c>
      <c r="G369">
        <v>18.75</v>
      </c>
      <c r="H369">
        <v>4</v>
      </c>
      <c r="I369" t="s">
        <v>0</v>
      </c>
      <c r="J369">
        <v>1</v>
      </c>
      <c r="K369" t="s">
        <v>63</v>
      </c>
      <c r="L369" t="s">
        <v>25</v>
      </c>
      <c r="M369" s="1">
        <v>43440</v>
      </c>
      <c r="N369" t="s">
        <v>102</v>
      </c>
      <c r="O369" t="str">
        <f t="shared" si="10"/>
        <v>NO</v>
      </c>
      <c r="P369" t="str">
        <f t="shared" si="11"/>
        <v>NO</v>
      </c>
    </row>
    <row r="370" spans="1:16" x14ac:dyDescent="0.3">
      <c r="A370">
        <v>369</v>
      </c>
      <c r="B370">
        <v>34</v>
      </c>
      <c r="C370">
        <v>132</v>
      </c>
      <c r="D370">
        <v>104</v>
      </c>
      <c r="E370">
        <v>3</v>
      </c>
      <c r="F370">
        <v>0</v>
      </c>
      <c r="G370">
        <v>32.69</v>
      </c>
      <c r="H370">
        <v>4</v>
      </c>
      <c r="I370" t="s">
        <v>0</v>
      </c>
      <c r="J370">
        <v>3</v>
      </c>
      <c r="K370" t="s">
        <v>63</v>
      </c>
      <c r="L370" t="s">
        <v>25</v>
      </c>
      <c r="M370" s="1">
        <v>43440</v>
      </c>
      <c r="N370" t="s">
        <v>102</v>
      </c>
      <c r="O370" t="str">
        <f t="shared" si="10"/>
        <v>NO</v>
      </c>
      <c r="P370" t="str">
        <f t="shared" si="11"/>
        <v>NO</v>
      </c>
    </row>
    <row r="371" spans="1:16" x14ac:dyDescent="0.3">
      <c r="A371">
        <v>370</v>
      </c>
      <c r="B371">
        <v>123</v>
      </c>
      <c r="C371">
        <v>373</v>
      </c>
      <c r="D371">
        <v>257</v>
      </c>
      <c r="E371">
        <v>13</v>
      </c>
      <c r="F371">
        <v>1</v>
      </c>
      <c r="G371">
        <v>47.85</v>
      </c>
      <c r="H371">
        <v>4</v>
      </c>
      <c r="I371" t="s">
        <v>0</v>
      </c>
      <c r="J371">
        <v>2</v>
      </c>
      <c r="K371" t="s">
        <v>63</v>
      </c>
      <c r="L371" t="s">
        <v>50</v>
      </c>
      <c r="M371" s="1">
        <v>43448</v>
      </c>
      <c r="N371" t="s">
        <v>102</v>
      </c>
      <c r="O371" t="str">
        <f t="shared" si="10"/>
        <v>YES</v>
      </c>
      <c r="P371" t="str">
        <f t="shared" si="11"/>
        <v>NO</v>
      </c>
    </row>
    <row r="372" spans="1:16" x14ac:dyDescent="0.3">
      <c r="A372">
        <v>371</v>
      </c>
      <c r="B372">
        <v>82</v>
      </c>
      <c r="C372">
        <v>305</v>
      </c>
      <c r="D372">
        <v>204</v>
      </c>
      <c r="E372">
        <v>9</v>
      </c>
      <c r="F372">
        <v>0</v>
      </c>
      <c r="G372">
        <v>40.19</v>
      </c>
      <c r="H372">
        <v>4</v>
      </c>
      <c r="I372" t="s">
        <v>0</v>
      </c>
      <c r="J372">
        <v>1</v>
      </c>
      <c r="K372" t="s">
        <v>63</v>
      </c>
      <c r="L372" t="s">
        <v>22</v>
      </c>
      <c r="M372" s="1">
        <v>43460</v>
      </c>
      <c r="N372" t="s">
        <v>102</v>
      </c>
      <c r="O372" t="str">
        <f t="shared" si="10"/>
        <v>NO</v>
      </c>
      <c r="P372" t="str">
        <f t="shared" si="11"/>
        <v>YES</v>
      </c>
    </row>
    <row r="373" spans="1:16" x14ac:dyDescent="0.3">
      <c r="A373">
        <v>372</v>
      </c>
      <c r="B373">
        <v>0</v>
      </c>
      <c r="C373">
        <v>6</v>
      </c>
      <c r="D373">
        <v>4</v>
      </c>
      <c r="E373">
        <v>0</v>
      </c>
      <c r="F373">
        <v>0</v>
      </c>
      <c r="G373">
        <v>0</v>
      </c>
      <c r="H373">
        <v>4</v>
      </c>
      <c r="I373" t="s">
        <v>0</v>
      </c>
      <c r="J373">
        <v>3</v>
      </c>
      <c r="K373" t="s">
        <v>63</v>
      </c>
      <c r="L373" t="s">
        <v>22</v>
      </c>
      <c r="M373" s="1">
        <v>43460</v>
      </c>
      <c r="N373" t="s">
        <v>102</v>
      </c>
      <c r="O373" t="str">
        <f t="shared" si="10"/>
        <v>NO</v>
      </c>
      <c r="P373" t="str">
        <f t="shared" si="11"/>
        <v>NO</v>
      </c>
    </row>
    <row r="374" spans="1:16" x14ac:dyDescent="0.3">
      <c r="A374">
        <v>373</v>
      </c>
      <c r="B374">
        <v>23</v>
      </c>
      <c r="C374">
        <v>30</v>
      </c>
      <c r="D374">
        <v>59</v>
      </c>
      <c r="E374">
        <v>4</v>
      </c>
      <c r="F374">
        <v>0</v>
      </c>
      <c r="G374">
        <v>38.979999999999997</v>
      </c>
      <c r="H374">
        <v>4</v>
      </c>
      <c r="I374" t="s">
        <v>0</v>
      </c>
      <c r="J374">
        <v>1</v>
      </c>
      <c r="K374" t="s">
        <v>63</v>
      </c>
      <c r="L374" t="s">
        <v>23</v>
      </c>
      <c r="M374" s="1">
        <v>43468</v>
      </c>
      <c r="N374" t="s">
        <v>102</v>
      </c>
      <c r="O374" t="str">
        <f t="shared" si="10"/>
        <v>NO</v>
      </c>
      <c r="P374" t="str">
        <f t="shared" si="11"/>
        <v>NO</v>
      </c>
    </row>
    <row r="375" spans="1:16" x14ac:dyDescent="0.3">
      <c r="A375">
        <v>374</v>
      </c>
      <c r="B375">
        <v>3</v>
      </c>
      <c r="C375">
        <v>10</v>
      </c>
      <c r="D375">
        <v>8</v>
      </c>
      <c r="E375">
        <v>0</v>
      </c>
      <c r="F375">
        <v>0</v>
      </c>
      <c r="G375">
        <v>37.5</v>
      </c>
      <c r="H375">
        <v>3</v>
      </c>
      <c r="I375" t="s">
        <v>0</v>
      </c>
      <c r="J375">
        <v>2</v>
      </c>
      <c r="K375" t="s">
        <v>63</v>
      </c>
      <c r="L375" t="s">
        <v>23</v>
      </c>
      <c r="M375" s="1">
        <v>43477</v>
      </c>
      <c r="N375" t="s">
        <v>103</v>
      </c>
      <c r="O375" t="str">
        <f t="shared" si="10"/>
        <v>NO</v>
      </c>
      <c r="P375" t="str">
        <f t="shared" si="11"/>
        <v>NO</v>
      </c>
    </row>
    <row r="376" spans="1:16" x14ac:dyDescent="0.3">
      <c r="A376">
        <v>375</v>
      </c>
      <c r="B376">
        <v>104</v>
      </c>
      <c r="C376">
        <v>150</v>
      </c>
      <c r="D376">
        <v>112</v>
      </c>
      <c r="E376">
        <v>5</v>
      </c>
      <c r="F376">
        <v>2</v>
      </c>
      <c r="G376">
        <v>92.85</v>
      </c>
      <c r="H376">
        <v>3</v>
      </c>
      <c r="I376" t="s">
        <v>0</v>
      </c>
      <c r="J376">
        <v>2</v>
      </c>
      <c r="K376" t="s">
        <v>63</v>
      </c>
      <c r="L376" t="s">
        <v>25</v>
      </c>
      <c r="M376" s="1">
        <v>43480</v>
      </c>
      <c r="N376" t="s">
        <v>103</v>
      </c>
      <c r="O376" t="str">
        <f t="shared" si="10"/>
        <v>YES</v>
      </c>
      <c r="P376" t="str">
        <f t="shared" si="11"/>
        <v>NO</v>
      </c>
    </row>
    <row r="377" spans="1:16" x14ac:dyDescent="0.3">
      <c r="A377">
        <v>376</v>
      </c>
      <c r="B377">
        <v>46</v>
      </c>
      <c r="C377" t="s">
        <v>1</v>
      </c>
      <c r="D377">
        <v>62</v>
      </c>
      <c r="E377">
        <v>3</v>
      </c>
      <c r="F377">
        <v>0</v>
      </c>
      <c r="G377">
        <v>74.19</v>
      </c>
      <c r="H377">
        <v>3</v>
      </c>
      <c r="I377" t="s">
        <v>0</v>
      </c>
      <c r="J377">
        <v>2</v>
      </c>
      <c r="K377" t="s">
        <v>63</v>
      </c>
      <c r="L377" t="s">
        <v>22</v>
      </c>
      <c r="M377" s="1">
        <v>43483</v>
      </c>
      <c r="N377" t="s">
        <v>103</v>
      </c>
      <c r="O377" t="str">
        <f t="shared" si="10"/>
        <v>NO</v>
      </c>
      <c r="P377" t="str">
        <f t="shared" si="11"/>
        <v>NO</v>
      </c>
    </row>
    <row r="378" spans="1:16" x14ac:dyDescent="0.3">
      <c r="A378">
        <v>377</v>
      </c>
      <c r="B378">
        <v>45</v>
      </c>
      <c r="C378">
        <v>59</v>
      </c>
      <c r="D378">
        <v>59</v>
      </c>
      <c r="E378">
        <v>3</v>
      </c>
      <c r="F378">
        <v>0</v>
      </c>
      <c r="G378">
        <v>76.27</v>
      </c>
      <c r="H378">
        <v>3</v>
      </c>
      <c r="I378" t="s">
        <v>0</v>
      </c>
      <c r="J378">
        <v>2</v>
      </c>
      <c r="K378" t="s">
        <v>65</v>
      </c>
      <c r="L378" t="s">
        <v>97</v>
      </c>
      <c r="M378" s="1">
        <v>43488</v>
      </c>
      <c r="N378" t="s">
        <v>103</v>
      </c>
      <c r="O378" t="str">
        <f t="shared" si="10"/>
        <v>NO</v>
      </c>
      <c r="P378" t="str">
        <f t="shared" si="11"/>
        <v>NO</v>
      </c>
    </row>
    <row r="379" spans="1:16" x14ac:dyDescent="0.3">
      <c r="A379">
        <v>378</v>
      </c>
      <c r="B379">
        <v>43</v>
      </c>
      <c r="C379">
        <v>59</v>
      </c>
      <c r="D379">
        <v>45</v>
      </c>
      <c r="E379">
        <v>5</v>
      </c>
      <c r="F379">
        <v>0</v>
      </c>
      <c r="G379">
        <v>95.55</v>
      </c>
      <c r="H379">
        <v>3</v>
      </c>
      <c r="I379" t="s">
        <v>0</v>
      </c>
      <c r="J379">
        <v>1</v>
      </c>
      <c r="K379" t="s">
        <v>65</v>
      </c>
      <c r="L379" t="s">
        <v>99</v>
      </c>
      <c r="M379" s="1">
        <v>43491</v>
      </c>
      <c r="N379" t="s">
        <v>103</v>
      </c>
      <c r="O379" t="str">
        <f t="shared" si="10"/>
        <v>NO</v>
      </c>
      <c r="P379" t="str">
        <f t="shared" si="11"/>
        <v>NO</v>
      </c>
    </row>
    <row r="380" spans="1:16" x14ac:dyDescent="0.3">
      <c r="A380">
        <v>379</v>
      </c>
      <c r="B380">
        <v>60</v>
      </c>
      <c r="C380">
        <v>94</v>
      </c>
      <c r="D380">
        <v>74</v>
      </c>
      <c r="E380">
        <v>6</v>
      </c>
      <c r="F380">
        <v>1</v>
      </c>
      <c r="G380">
        <v>81.08</v>
      </c>
      <c r="H380">
        <v>3</v>
      </c>
      <c r="I380" t="s">
        <v>0</v>
      </c>
      <c r="J380">
        <v>2</v>
      </c>
      <c r="K380" t="s">
        <v>65</v>
      </c>
      <c r="L380" t="s">
        <v>99</v>
      </c>
      <c r="M380" s="1">
        <v>43493</v>
      </c>
      <c r="N380" t="s">
        <v>103</v>
      </c>
      <c r="O380" t="str">
        <f t="shared" si="10"/>
        <v>NO</v>
      </c>
      <c r="P380" t="str">
        <f t="shared" si="11"/>
        <v>YES</v>
      </c>
    </row>
    <row r="381" spans="1:16" x14ac:dyDescent="0.3">
      <c r="A381">
        <v>380</v>
      </c>
      <c r="B381">
        <v>24</v>
      </c>
      <c r="C381">
        <v>25</v>
      </c>
      <c r="D381">
        <v>17</v>
      </c>
      <c r="E381">
        <v>3</v>
      </c>
      <c r="F381">
        <v>0</v>
      </c>
      <c r="G381">
        <v>141.16999999999999</v>
      </c>
      <c r="H381">
        <v>3</v>
      </c>
      <c r="I381" t="s">
        <v>0</v>
      </c>
      <c r="J381">
        <v>1</v>
      </c>
      <c r="K381" t="s">
        <v>63</v>
      </c>
      <c r="L381" t="s">
        <v>11</v>
      </c>
      <c r="M381" s="1">
        <v>43520</v>
      </c>
      <c r="N381" t="s">
        <v>104</v>
      </c>
      <c r="O381" t="str">
        <f t="shared" si="10"/>
        <v>NO</v>
      </c>
      <c r="P381" t="str">
        <f t="shared" si="11"/>
        <v>NO</v>
      </c>
    </row>
    <row r="382" spans="1:16" x14ac:dyDescent="0.3">
      <c r="A382">
        <v>381</v>
      </c>
      <c r="B382">
        <v>72</v>
      </c>
      <c r="C382">
        <v>63</v>
      </c>
      <c r="D382">
        <v>38</v>
      </c>
      <c r="E382">
        <v>2</v>
      </c>
      <c r="F382">
        <v>6</v>
      </c>
      <c r="G382">
        <v>189.47</v>
      </c>
      <c r="H382">
        <v>3</v>
      </c>
      <c r="I382" t="s">
        <v>66</v>
      </c>
      <c r="J382">
        <v>1</v>
      </c>
      <c r="K382" t="s">
        <v>63</v>
      </c>
      <c r="L382" t="s">
        <v>12</v>
      </c>
      <c r="M382" s="1">
        <v>43523</v>
      </c>
      <c r="N382" t="s">
        <v>104</v>
      </c>
      <c r="O382" t="str">
        <f t="shared" si="10"/>
        <v>NO</v>
      </c>
      <c r="P382" t="str">
        <f t="shared" si="11"/>
        <v>YES</v>
      </c>
    </row>
    <row r="383" spans="1:16" x14ac:dyDescent="0.3">
      <c r="A383">
        <v>382</v>
      </c>
      <c r="B383">
        <v>44</v>
      </c>
      <c r="C383">
        <v>50</v>
      </c>
      <c r="D383">
        <v>45</v>
      </c>
      <c r="E383">
        <v>6</v>
      </c>
      <c r="F383">
        <v>1</v>
      </c>
      <c r="G383">
        <v>97.77</v>
      </c>
      <c r="H383">
        <v>3</v>
      </c>
      <c r="I383" t="s">
        <v>4</v>
      </c>
      <c r="J383">
        <v>2</v>
      </c>
      <c r="K383" t="s">
        <v>63</v>
      </c>
      <c r="L383" t="s">
        <v>19</v>
      </c>
      <c r="M383" s="1">
        <v>43526</v>
      </c>
      <c r="N383" t="s">
        <v>103</v>
      </c>
      <c r="O383" t="str">
        <f t="shared" si="10"/>
        <v>NO</v>
      </c>
      <c r="P383" t="str">
        <f t="shared" si="11"/>
        <v>NO</v>
      </c>
    </row>
    <row r="384" spans="1:16" x14ac:dyDescent="0.3">
      <c r="A384">
        <v>383</v>
      </c>
      <c r="B384">
        <v>116</v>
      </c>
      <c r="C384">
        <v>80</v>
      </c>
      <c r="D384">
        <v>120</v>
      </c>
      <c r="E384">
        <v>10</v>
      </c>
      <c r="F384">
        <v>0</v>
      </c>
      <c r="G384">
        <v>96.66</v>
      </c>
      <c r="H384">
        <v>3</v>
      </c>
      <c r="I384" t="s">
        <v>0</v>
      </c>
      <c r="J384">
        <v>1</v>
      </c>
      <c r="K384" t="s">
        <v>63</v>
      </c>
      <c r="L384" t="s">
        <v>28</v>
      </c>
      <c r="M384" s="1">
        <v>43529</v>
      </c>
      <c r="N384" t="s">
        <v>103</v>
      </c>
      <c r="O384" t="str">
        <f t="shared" si="10"/>
        <v>YES</v>
      </c>
      <c r="P384" t="str">
        <f t="shared" si="11"/>
        <v>NO</v>
      </c>
    </row>
    <row r="385" spans="1:16" x14ac:dyDescent="0.3">
      <c r="A385">
        <v>384</v>
      </c>
      <c r="B385">
        <v>123</v>
      </c>
      <c r="C385">
        <v>90</v>
      </c>
      <c r="D385">
        <v>95</v>
      </c>
      <c r="E385">
        <v>16</v>
      </c>
      <c r="F385">
        <v>1</v>
      </c>
      <c r="G385">
        <v>129.47</v>
      </c>
      <c r="H385">
        <v>3</v>
      </c>
      <c r="I385" t="s">
        <v>7</v>
      </c>
      <c r="J385">
        <v>2</v>
      </c>
      <c r="K385" t="s">
        <v>63</v>
      </c>
      <c r="L385" t="s">
        <v>33</v>
      </c>
      <c r="M385" s="1">
        <v>43532</v>
      </c>
      <c r="N385" t="s">
        <v>103</v>
      </c>
      <c r="O385" t="str">
        <f t="shared" si="10"/>
        <v>YES</v>
      </c>
      <c r="P385" t="str">
        <f t="shared" si="11"/>
        <v>NO</v>
      </c>
    </row>
    <row r="386" spans="1:16" x14ac:dyDescent="0.3">
      <c r="A386">
        <v>385</v>
      </c>
      <c r="B386">
        <v>7</v>
      </c>
      <c r="C386">
        <v>4</v>
      </c>
      <c r="D386">
        <v>6</v>
      </c>
      <c r="E386">
        <v>1</v>
      </c>
      <c r="F386">
        <v>0</v>
      </c>
      <c r="G386">
        <v>116.66</v>
      </c>
      <c r="H386">
        <v>4</v>
      </c>
      <c r="I386" t="s">
        <v>0</v>
      </c>
      <c r="J386">
        <v>1</v>
      </c>
      <c r="K386" t="s">
        <v>63</v>
      </c>
      <c r="L386" t="s">
        <v>5</v>
      </c>
      <c r="M386" s="1">
        <v>43534</v>
      </c>
      <c r="N386" t="s">
        <v>103</v>
      </c>
      <c r="O386" t="str">
        <f t="shared" si="10"/>
        <v>NO</v>
      </c>
      <c r="P386" t="str">
        <f t="shared" si="11"/>
        <v>NO</v>
      </c>
    </row>
    <row r="387" spans="1:16" x14ac:dyDescent="0.3">
      <c r="A387">
        <v>386</v>
      </c>
      <c r="B387">
        <v>20</v>
      </c>
      <c r="C387">
        <v>20</v>
      </c>
      <c r="D387">
        <v>22</v>
      </c>
      <c r="E387">
        <v>2</v>
      </c>
      <c r="F387">
        <v>0</v>
      </c>
      <c r="G387">
        <v>90.9</v>
      </c>
      <c r="H387">
        <v>3</v>
      </c>
      <c r="I387" t="s">
        <v>0</v>
      </c>
      <c r="J387">
        <v>2</v>
      </c>
      <c r="K387" t="s">
        <v>63</v>
      </c>
      <c r="L387" t="s">
        <v>13</v>
      </c>
      <c r="M387" s="1">
        <v>43537</v>
      </c>
      <c r="N387" t="s">
        <v>103</v>
      </c>
      <c r="O387" t="str">
        <f t="shared" ref="O387:O450" si="12">IF(B387&gt;100,"YES","NO")</f>
        <v>NO</v>
      </c>
      <c r="P387" t="str">
        <f t="shared" ref="P387:P450" si="13">IF(AND(B387&gt;=50,B387&lt;100),"YES","NO")</f>
        <v>NO</v>
      </c>
    </row>
    <row r="388" spans="1:16" x14ac:dyDescent="0.3">
      <c r="A388">
        <v>387</v>
      </c>
      <c r="B388">
        <v>18</v>
      </c>
      <c r="C388">
        <v>44</v>
      </c>
      <c r="D388">
        <v>34</v>
      </c>
      <c r="E388">
        <v>1</v>
      </c>
      <c r="F388">
        <v>0</v>
      </c>
      <c r="G388">
        <v>52.94</v>
      </c>
      <c r="H388">
        <v>3</v>
      </c>
      <c r="I388" t="s">
        <v>0</v>
      </c>
      <c r="J388">
        <v>2</v>
      </c>
      <c r="K388" t="s">
        <v>68</v>
      </c>
      <c r="L388" t="s">
        <v>16</v>
      </c>
      <c r="M388" s="1">
        <v>43621</v>
      </c>
      <c r="N388" t="s">
        <v>103</v>
      </c>
      <c r="O388" t="str">
        <f t="shared" si="12"/>
        <v>NO</v>
      </c>
      <c r="P388" t="str">
        <f t="shared" si="13"/>
        <v>NO</v>
      </c>
    </row>
    <row r="389" spans="1:16" x14ac:dyDescent="0.3">
      <c r="A389">
        <v>388</v>
      </c>
      <c r="B389">
        <v>82</v>
      </c>
      <c r="C389">
        <v>128</v>
      </c>
      <c r="D389">
        <v>77</v>
      </c>
      <c r="E389">
        <v>4</v>
      </c>
      <c r="F389">
        <v>2</v>
      </c>
      <c r="G389">
        <v>106.49</v>
      </c>
      <c r="H389">
        <v>3</v>
      </c>
      <c r="I389" t="s">
        <v>0</v>
      </c>
      <c r="J389">
        <v>1</v>
      </c>
      <c r="K389" t="s">
        <v>63</v>
      </c>
      <c r="L389" t="s">
        <v>17</v>
      </c>
      <c r="M389" s="1">
        <v>43625</v>
      </c>
      <c r="N389" t="s">
        <v>103</v>
      </c>
      <c r="O389" t="str">
        <f t="shared" si="12"/>
        <v>NO</v>
      </c>
      <c r="P389" t="str">
        <f t="shared" si="13"/>
        <v>YES</v>
      </c>
    </row>
    <row r="390" spans="1:16" x14ac:dyDescent="0.3">
      <c r="A390">
        <v>389</v>
      </c>
      <c r="B390">
        <v>77</v>
      </c>
      <c r="C390">
        <v>105</v>
      </c>
      <c r="D390">
        <v>65</v>
      </c>
      <c r="E390">
        <v>7</v>
      </c>
      <c r="F390">
        <v>0</v>
      </c>
      <c r="G390">
        <v>118.46</v>
      </c>
      <c r="H390">
        <v>3</v>
      </c>
      <c r="I390" t="s">
        <v>0</v>
      </c>
      <c r="J390">
        <v>1</v>
      </c>
      <c r="K390" t="s">
        <v>84</v>
      </c>
      <c r="L390" t="s">
        <v>15</v>
      </c>
      <c r="M390" s="1">
        <v>43632</v>
      </c>
      <c r="N390" t="s">
        <v>103</v>
      </c>
      <c r="O390" t="str">
        <f t="shared" si="12"/>
        <v>NO</v>
      </c>
      <c r="P390" t="str">
        <f t="shared" si="13"/>
        <v>YES</v>
      </c>
    </row>
    <row r="391" spans="1:16" x14ac:dyDescent="0.3">
      <c r="A391">
        <v>390</v>
      </c>
      <c r="B391">
        <v>67</v>
      </c>
      <c r="C391">
        <v>105</v>
      </c>
      <c r="D391">
        <v>63</v>
      </c>
      <c r="E391">
        <v>5</v>
      </c>
      <c r="F391">
        <v>0</v>
      </c>
      <c r="G391">
        <v>106.34</v>
      </c>
      <c r="H391">
        <v>3</v>
      </c>
      <c r="I391" t="s">
        <v>0</v>
      </c>
      <c r="J391">
        <v>1</v>
      </c>
      <c r="K391" t="s">
        <v>83</v>
      </c>
      <c r="L391" t="s">
        <v>16</v>
      </c>
      <c r="M391" s="1">
        <v>43638</v>
      </c>
      <c r="N391" t="s">
        <v>103</v>
      </c>
      <c r="O391" t="str">
        <f t="shared" si="12"/>
        <v>NO</v>
      </c>
      <c r="P391" t="str">
        <f t="shared" si="13"/>
        <v>YES</v>
      </c>
    </row>
    <row r="392" spans="1:16" x14ac:dyDescent="0.3">
      <c r="A392">
        <v>391</v>
      </c>
      <c r="B392">
        <v>72</v>
      </c>
      <c r="C392">
        <v>146</v>
      </c>
      <c r="D392">
        <v>82</v>
      </c>
      <c r="E392">
        <v>8</v>
      </c>
      <c r="F392">
        <v>0</v>
      </c>
      <c r="G392">
        <v>87.8</v>
      </c>
      <c r="H392">
        <v>3</v>
      </c>
      <c r="I392" t="s">
        <v>0</v>
      </c>
      <c r="J392">
        <v>1</v>
      </c>
      <c r="K392" t="s">
        <v>60</v>
      </c>
      <c r="L392" t="s">
        <v>15</v>
      </c>
      <c r="M392" s="1">
        <v>43643</v>
      </c>
      <c r="N392" t="s">
        <v>103</v>
      </c>
      <c r="O392" t="str">
        <f t="shared" si="12"/>
        <v>NO</v>
      </c>
      <c r="P392" t="str">
        <f t="shared" si="13"/>
        <v>YES</v>
      </c>
    </row>
    <row r="393" spans="1:16" x14ac:dyDescent="0.3">
      <c r="A393">
        <v>392</v>
      </c>
      <c r="B393">
        <v>66</v>
      </c>
      <c r="C393">
        <v>103</v>
      </c>
      <c r="D393">
        <v>76</v>
      </c>
      <c r="E393">
        <v>7</v>
      </c>
      <c r="F393">
        <v>0</v>
      </c>
      <c r="G393">
        <v>86.84</v>
      </c>
      <c r="H393">
        <v>3</v>
      </c>
      <c r="I393" t="s">
        <v>0</v>
      </c>
      <c r="J393">
        <v>2</v>
      </c>
      <c r="K393" t="s">
        <v>67</v>
      </c>
      <c r="L393" t="s">
        <v>35</v>
      </c>
      <c r="M393" s="1">
        <v>43646</v>
      </c>
      <c r="N393" t="s">
        <v>103</v>
      </c>
      <c r="O393" t="str">
        <f t="shared" si="12"/>
        <v>NO</v>
      </c>
      <c r="P393" t="str">
        <f t="shared" si="13"/>
        <v>YES</v>
      </c>
    </row>
    <row r="394" spans="1:16" x14ac:dyDescent="0.3">
      <c r="A394">
        <v>393</v>
      </c>
      <c r="B394">
        <v>26</v>
      </c>
      <c r="C394">
        <v>45</v>
      </c>
      <c r="D394">
        <v>27</v>
      </c>
      <c r="E394">
        <v>3</v>
      </c>
      <c r="F394">
        <v>0</v>
      </c>
      <c r="G394">
        <v>96.29</v>
      </c>
      <c r="H394">
        <v>3</v>
      </c>
      <c r="I394" t="s">
        <v>0</v>
      </c>
      <c r="J394">
        <v>1</v>
      </c>
      <c r="K394" t="s">
        <v>73</v>
      </c>
      <c r="L394" t="s">
        <v>35</v>
      </c>
      <c r="M394" s="1">
        <v>43648</v>
      </c>
      <c r="N394" t="s">
        <v>103</v>
      </c>
      <c r="O394" t="str">
        <f t="shared" si="12"/>
        <v>NO</v>
      </c>
      <c r="P394" t="str">
        <f t="shared" si="13"/>
        <v>NO</v>
      </c>
    </row>
    <row r="395" spans="1:16" x14ac:dyDescent="0.3">
      <c r="A395">
        <v>394</v>
      </c>
      <c r="B395">
        <v>34</v>
      </c>
      <c r="C395">
        <v>61</v>
      </c>
      <c r="D395">
        <v>41</v>
      </c>
      <c r="E395">
        <v>3</v>
      </c>
      <c r="F395">
        <v>0</v>
      </c>
      <c r="G395">
        <v>82.92</v>
      </c>
      <c r="H395">
        <v>3</v>
      </c>
      <c r="I395" t="s">
        <v>66</v>
      </c>
      <c r="J395">
        <v>2</v>
      </c>
      <c r="K395" t="s">
        <v>74</v>
      </c>
      <c r="L395" t="s">
        <v>40</v>
      </c>
      <c r="M395" s="1">
        <v>43652</v>
      </c>
      <c r="N395" t="s">
        <v>103</v>
      </c>
      <c r="O395" t="str">
        <f t="shared" si="12"/>
        <v>NO</v>
      </c>
      <c r="P395" t="str">
        <f t="shared" si="13"/>
        <v>NO</v>
      </c>
    </row>
    <row r="396" spans="1:16" x14ac:dyDescent="0.3">
      <c r="A396">
        <v>395</v>
      </c>
      <c r="B396">
        <v>1</v>
      </c>
      <c r="C396">
        <v>8</v>
      </c>
      <c r="D396">
        <v>6</v>
      </c>
      <c r="E396">
        <v>0</v>
      </c>
      <c r="F396">
        <v>0</v>
      </c>
      <c r="G396">
        <v>16.66</v>
      </c>
      <c r="H396">
        <v>3</v>
      </c>
      <c r="I396" t="s">
        <v>4</v>
      </c>
      <c r="J396">
        <v>2</v>
      </c>
      <c r="K396" t="s">
        <v>65</v>
      </c>
      <c r="L396" t="s">
        <v>15</v>
      </c>
      <c r="M396" s="1">
        <v>43655</v>
      </c>
      <c r="N396" t="s">
        <v>103</v>
      </c>
      <c r="O396" t="str">
        <f t="shared" si="12"/>
        <v>NO</v>
      </c>
      <c r="P396" t="str">
        <f t="shared" si="13"/>
        <v>NO</v>
      </c>
    </row>
    <row r="397" spans="1:16" x14ac:dyDescent="0.3">
      <c r="A397">
        <v>396</v>
      </c>
      <c r="B397">
        <v>19</v>
      </c>
      <c r="C397">
        <v>30</v>
      </c>
      <c r="D397">
        <v>29</v>
      </c>
      <c r="E397">
        <v>1</v>
      </c>
      <c r="F397">
        <v>0</v>
      </c>
      <c r="G397">
        <v>65.510000000000005</v>
      </c>
      <c r="H397">
        <v>3</v>
      </c>
      <c r="I397" t="s">
        <v>0</v>
      </c>
      <c r="J397">
        <v>2</v>
      </c>
      <c r="K397" t="s">
        <v>60</v>
      </c>
      <c r="L397" t="s">
        <v>86</v>
      </c>
      <c r="M397" s="1">
        <v>43680</v>
      </c>
      <c r="N397" t="s">
        <v>104</v>
      </c>
      <c r="O397" t="str">
        <f t="shared" si="12"/>
        <v>NO</v>
      </c>
      <c r="P397" t="str">
        <f t="shared" si="13"/>
        <v>NO</v>
      </c>
    </row>
    <row r="398" spans="1:16" x14ac:dyDescent="0.3">
      <c r="A398">
        <v>397</v>
      </c>
      <c r="B398">
        <v>28</v>
      </c>
      <c r="C398">
        <v>25</v>
      </c>
      <c r="D398">
        <v>23</v>
      </c>
      <c r="E398">
        <v>1</v>
      </c>
      <c r="F398">
        <v>1</v>
      </c>
      <c r="G398">
        <v>121.73</v>
      </c>
      <c r="H398">
        <v>3</v>
      </c>
      <c r="I398" t="s">
        <v>7</v>
      </c>
      <c r="J398">
        <v>1</v>
      </c>
      <c r="K398" t="s">
        <v>60</v>
      </c>
      <c r="L398" t="s">
        <v>86</v>
      </c>
      <c r="M398" s="1">
        <v>43681</v>
      </c>
      <c r="N398" t="s">
        <v>104</v>
      </c>
      <c r="O398" t="str">
        <f t="shared" si="12"/>
        <v>NO</v>
      </c>
      <c r="P398" t="str">
        <f t="shared" si="13"/>
        <v>NO</v>
      </c>
    </row>
    <row r="399" spans="1:16" x14ac:dyDescent="0.3">
      <c r="A399">
        <v>398</v>
      </c>
      <c r="B399">
        <v>59</v>
      </c>
      <c r="C399">
        <v>50</v>
      </c>
      <c r="D399">
        <v>45</v>
      </c>
      <c r="E399">
        <v>6</v>
      </c>
      <c r="F399">
        <v>0</v>
      </c>
      <c r="G399">
        <v>131.11000000000001</v>
      </c>
      <c r="H399">
        <v>3</v>
      </c>
      <c r="I399" t="s">
        <v>0</v>
      </c>
      <c r="J399">
        <v>2</v>
      </c>
      <c r="K399" t="s">
        <v>60</v>
      </c>
      <c r="L399" t="s">
        <v>59</v>
      </c>
      <c r="M399" s="1">
        <v>43683</v>
      </c>
      <c r="N399" t="s">
        <v>104</v>
      </c>
      <c r="O399" t="str">
        <f t="shared" si="12"/>
        <v>NO</v>
      </c>
      <c r="P399" t="str">
        <f t="shared" si="13"/>
        <v>YES</v>
      </c>
    </row>
    <row r="400" spans="1:16" x14ac:dyDescent="0.3">
      <c r="A400">
        <v>399</v>
      </c>
      <c r="B400">
        <v>120</v>
      </c>
      <c r="C400">
        <v>179</v>
      </c>
      <c r="D400">
        <v>125</v>
      </c>
      <c r="E400">
        <v>14</v>
      </c>
      <c r="F400">
        <v>1</v>
      </c>
      <c r="G400">
        <v>96</v>
      </c>
      <c r="H400">
        <v>3</v>
      </c>
      <c r="I400" t="s">
        <v>0</v>
      </c>
      <c r="J400">
        <v>1</v>
      </c>
      <c r="K400" t="s">
        <v>60</v>
      </c>
      <c r="L400" t="s">
        <v>78</v>
      </c>
      <c r="M400" s="1">
        <v>43688</v>
      </c>
      <c r="N400" t="s">
        <v>103</v>
      </c>
      <c r="O400" t="str">
        <f t="shared" si="12"/>
        <v>YES</v>
      </c>
      <c r="P400" t="str">
        <f t="shared" si="13"/>
        <v>NO</v>
      </c>
    </row>
    <row r="401" spans="1:16" x14ac:dyDescent="0.3">
      <c r="A401">
        <v>400</v>
      </c>
      <c r="B401">
        <v>114</v>
      </c>
      <c r="C401">
        <v>127</v>
      </c>
      <c r="D401">
        <v>99</v>
      </c>
      <c r="E401">
        <v>14</v>
      </c>
      <c r="F401">
        <v>0</v>
      </c>
      <c r="G401">
        <v>115.15</v>
      </c>
      <c r="H401">
        <v>3</v>
      </c>
      <c r="I401" t="s">
        <v>66</v>
      </c>
      <c r="J401">
        <v>2</v>
      </c>
      <c r="K401" t="s">
        <v>60</v>
      </c>
      <c r="L401" t="s">
        <v>78</v>
      </c>
      <c r="M401" s="1">
        <v>43691</v>
      </c>
      <c r="N401" t="s">
        <v>103</v>
      </c>
      <c r="O401" t="str">
        <f t="shared" si="12"/>
        <v>YES</v>
      </c>
      <c r="P401" t="str">
        <f t="shared" si="13"/>
        <v>NO</v>
      </c>
    </row>
    <row r="402" spans="1:16" x14ac:dyDescent="0.3">
      <c r="A402">
        <v>401</v>
      </c>
      <c r="B402">
        <v>51</v>
      </c>
      <c r="C402">
        <v>50</v>
      </c>
      <c r="D402">
        <v>113</v>
      </c>
      <c r="E402">
        <v>2</v>
      </c>
      <c r="F402">
        <v>0</v>
      </c>
      <c r="G402">
        <v>45.13</v>
      </c>
      <c r="H402">
        <v>4</v>
      </c>
      <c r="I402" t="s">
        <v>0</v>
      </c>
      <c r="J402">
        <v>3</v>
      </c>
      <c r="K402" t="s">
        <v>60</v>
      </c>
      <c r="L402" t="s">
        <v>57</v>
      </c>
      <c r="M402" s="1">
        <v>43699</v>
      </c>
      <c r="N402" t="s">
        <v>102</v>
      </c>
      <c r="O402" t="str">
        <f t="shared" si="12"/>
        <v>NO</v>
      </c>
      <c r="P402" t="str">
        <f t="shared" si="13"/>
        <v>YES</v>
      </c>
    </row>
    <row r="403" spans="1:16" x14ac:dyDescent="0.3">
      <c r="A403">
        <v>402</v>
      </c>
      <c r="B403">
        <v>76</v>
      </c>
      <c r="C403">
        <v>211</v>
      </c>
      <c r="D403">
        <v>163</v>
      </c>
      <c r="E403">
        <v>10</v>
      </c>
      <c r="F403">
        <v>0</v>
      </c>
      <c r="G403">
        <v>46.62</v>
      </c>
      <c r="H403">
        <v>4</v>
      </c>
      <c r="I403" t="s">
        <v>0</v>
      </c>
      <c r="J403">
        <v>1</v>
      </c>
      <c r="K403" t="s">
        <v>60</v>
      </c>
      <c r="L403" t="s">
        <v>61</v>
      </c>
      <c r="M403" s="1">
        <v>43707</v>
      </c>
      <c r="N403" t="s">
        <v>102</v>
      </c>
      <c r="O403" t="str">
        <f t="shared" si="12"/>
        <v>NO</v>
      </c>
      <c r="P403" t="str">
        <f t="shared" si="13"/>
        <v>YES</v>
      </c>
    </row>
    <row r="404" spans="1:16" x14ac:dyDescent="0.3">
      <c r="A404">
        <v>403</v>
      </c>
      <c r="B404">
        <v>0</v>
      </c>
      <c r="C404">
        <v>3</v>
      </c>
      <c r="D404">
        <v>1</v>
      </c>
      <c r="E404">
        <v>0</v>
      </c>
      <c r="F404">
        <v>0</v>
      </c>
      <c r="G404">
        <v>0</v>
      </c>
      <c r="H404">
        <v>4</v>
      </c>
      <c r="I404" t="s">
        <v>0</v>
      </c>
      <c r="J404">
        <v>3</v>
      </c>
      <c r="K404" t="s">
        <v>60</v>
      </c>
      <c r="L404" t="s">
        <v>61</v>
      </c>
      <c r="M404" s="1">
        <v>43707</v>
      </c>
      <c r="N404" t="s">
        <v>102</v>
      </c>
      <c r="O404" t="str">
        <f t="shared" si="12"/>
        <v>NO</v>
      </c>
      <c r="P404" t="str">
        <f t="shared" si="13"/>
        <v>NO</v>
      </c>
    </row>
    <row r="405" spans="1:16" x14ac:dyDescent="0.3">
      <c r="A405">
        <v>404</v>
      </c>
      <c r="B405">
        <v>72</v>
      </c>
      <c r="C405">
        <v>66</v>
      </c>
      <c r="D405">
        <v>52</v>
      </c>
      <c r="E405">
        <v>4</v>
      </c>
      <c r="F405">
        <v>3</v>
      </c>
      <c r="G405">
        <v>138.46</v>
      </c>
      <c r="H405">
        <v>3</v>
      </c>
      <c r="I405" t="s">
        <v>66</v>
      </c>
      <c r="J405">
        <v>2</v>
      </c>
      <c r="K405" t="s">
        <v>68</v>
      </c>
      <c r="L405" t="s">
        <v>5</v>
      </c>
      <c r="M405" s="1">
        <v>43726</v>
      </c>
      <c r="N405" t="s">
        <v>104</v>
      </c>
      <c r="O405" t="str">
        <f t="shared" si="12"/>
        <v>NO</v>
      </c>
      <c r="P405" t="str">
        <f t="shared" si="13"/>
        <v>YES</v>
      </c>
    </row>
    <row r="406" spans="1:16" x14ac:dyDescent="0.3">
      <c r="A406">
        <v>405</v>
      </c>
      <c r="B406">
        <v>9</v>
      </c>
      <c r="C406">
        <v>28</v>
      </c>
      <c r="D406">
        <v>15</v>
      </c>
      <c r="E406">
        <v>0</v>
      </c>
      <c r="F406">
        <v>0</v>
      </c>
      <c r="G406">
        <v>60</v>
      </c>
      <c r="H406">
        <v>3</v>
      </c>
      <c r="I406" t="s">
        <v>0</v>
      </c>
      <c r="J406">
        <v>1</v>
      </c>
      <c r="K406" t="s">
        <v>68</v>
      </c>
      <c r="L406" t="s">
        <v>12</v>
      </c>
      <c r="M406" s="1">
        <v>43730</v>
      </c>
      <c r="N406" t="s">
        <v>104</v>
      </c>
      <c r="O406" t="str">
        <f t="shared" si="12"/>
        <v>NO</v>
      </c>
      <c r="P406" t="str">
        <f t="shared" si="13"/>
        <v>NO</v>
      </c>
    </row>
    <row r="407" spans="1:16" x14ac:dyDescent="0.3">
      <c r="A407">
        <v>406</v>
      </c>
      <c r="B407">
        <v>20</v>
      </c>
      <c r="C407">
        <v>35</v>
      </c>
      <c r="D407">
        <v>40</v>
      </c>
      <c r="E407">
        <v>4</v>
      </c>
      <c r="F407">
        <v>0</v>
      </c>
      <c r="G407">
        <v>50</v>
      </c>
      <c r="H407">
        <v>4</v>
      </c>
      <c r="I407" t="s">
        <v>0</v>
      </c>
      <c r="J407">
        <v>1</v>
      </c>
      <c r="K407" t="s">
        <v>68</v>
      </c>
      <c r="L407" t="s">
        <v>11</v>
      </c>
      <c r="M407" s="1">
        <v>43740</v>
      </c>
      <c r="N407" t="s">
        <v>102</v>
      </c>
      <c r="O407" t="str">
        <f t="shared" si="12"/>
        <v>NO</v>
      </c>
      <c r="P407" t="str">
        <f t="shared" si="13"/>
        <v>NO</v>
      </c>
    </row>
    <row r="408" spans="1:16" x14ac:dyDescent="0.3">
      <c r="A408">
        <v>407</v>
      </c>
      <c r="B408">
        <v>31</v>
      </c>
      <c r="C408">
        <v>20</v>
      </c>
      <c r="D408">
        <v>25</v>
      </c>
      <c r="E408">
        <v>3</v>
      </c>
      <c r="F408">
        <v>1</v>
      </c>
      <c r="G408">
        <v>124</v>
      </c>
      <c r="H408">
        <v>5</v>
      </c>
      <c r="I408" t="s">
        <v>66</v>
      </c>
      <c r="J408">
        <v>3</v>
      </c>
      <c r="K408" t="s">
        <v>68</v>
      </c>
      <c r="L408" t="s">
        <v>11</v>
      </c>
      <c r="M408" s="1">
        <v>43740</v>
      </c>
      <c r="N408" t="s">
        <v>102</v>
      </c>
      <c r="O408" t="str">
        <f t="shared" si="12"/>
        <v>NO</v>
      </c>
      <c r="P408" t="str">
        <f t="shared" si="13"/>
        <v>NO</v>
      </c>
    </row>
    <row r="409" spans="1:16" x14ac:dyDescent="0.3">
      <c r="A409">
        <v>408</v>
      </c>
      <c r="B409">
        <v>254</v>
      </c>
      <c r="C409">
        <v>250</v>
      </c>
      <c r="D409">
        <v>336</v>
      </c>
      <c r="E409">
        <v>33</v>
      </c>
      <c r="F409">
        <v>2</v>
      </c>
      <c r="G409">
        <v>75.59</v>
      </c>
      <c r="H409">
        <v>4</v>
      </c>
      <c r="I409" t="s">
        <v>66</v>
      </c>
      <c r="J409">
        <v>1</v>
      </c>
      <c r="K409" t="s">
        <v>68</v>
      </c>
      <c r="L409" t="s">
        <v>29</v>
      </c>
      <c r="M409" s="1">
        <v>43748</v>
      </c>
      <c r="N409" t="s">
        <v>102</v>
      </c>
      <c r="O409" t="str">
        <f t="shared" si="12"/>
        <v>YES</v>
      </c>
      <c r="P409" t="str">
        <f t="shared" si="13"/>
        <v>NO</v>
      </c>
    </row>
    <row r="410" spans="1:16" x14ac:dyDescent="0.3">
      <c r="A410">
        <v>409</v>
      </c>
      <c r="B410">
        <v>12</v>
      </c>
      <c r="C410">
        <v>15</v>
      </c>
      <c r="D410">
        <v>22</v>
      </c>
      <c r="E410">
        <v>2</v>
      </c>
      <c r="F410">
        <v>0</v>
      </c>
      <c r="G410">
        <v>54.54</v>
      </c>
      <c r="H410">
        <v>4</v>
      </c>
      <c r="I410" t="s">
        <v>4</v>
      </c>
      <c r="J410">
        <v>1</v>
      </c>
      <c r="K410" t="s">
        <v>68</v>
      </c>
      <c r="L410" t="s">
        <v>33</v>
      </c>
      <c r="M410" s="1">
        <v>43757</v>
      </c>
      <c r="N410" t="s">
        <v>102</v>
      </c>
      <c r="O410" t="str">
        <f t="shared" si="12"/>
        <v>NO</v>
      </c>
      <c r="P410" t="str">
        <f t="shared" si="13"/>
        <v>NO</v>
      </c>
    </row>
    <row r="411" spans="1:16" x14ac:dyDescent="0.3">
      <c r="A411">
        <v>410</v>
      </c>
      <c r="B411">
        <v>0</v>
      </c>
      <c r="C411">
        <v>1</v>
      </c>
      <c r="D411">
        <v>2</v>
      </c>
      <c r="E411">
        <v>0</v>
      </c>
      <c r="F411">
        <v>0</v>
      </c>
      <c r="G411">
        <v>0</v>
      </c>
      <c r="H411">
        <v>4</v>
      </c>
      <c r="I411" t="s">
        <v>4</v>
      </c>
      <c r="J411">
        <v>2</v>
      </c>
      <c r="K411" t="s">
        <v>73</v>
      </c>
      <c r="L411" t="s">
        <v>46</v>
      </c>
      <c r="M411" s="1">
        <v>43783</v>
      </c>
      <c r="N411" t="s">
        <v>102</v>
      </c>
      <c r="O411" t="str">
        <f t="shared" si="12"/>
        <v>NO</v>
      </c>
      <c r="P411" t="str">
        <f t="shared" si="13"/>
        <v>NO</v>
      </c>
    </row>
    <row r="412" spans="1:16" x14ac:dyDescent="0.3">
      <c r="A412">
        <v>411</v>
      </c>
      <c r="B412">
        <v>136</v>
      </c>
      <c r="C412">
        <v>180</v>
      </c>
      <c r="D412">
        <v>194</v>
      </c>
      <c r="E412">
        <v>18</v>
      </c>
      <c r="F412">
        <v>0</v>
      </c>
      <c r="G412">
        <v>70.099999999999994</v>
      </c>
      <c r="H412">
        <v>4</v>
      </c>
      <c r="I412" t="s">
        <v>0</v>
      </c>
      <c r="J412">
        <v>2</v>
      </c>
      <c r="K412" t="s">
        <v>73</v>
      </c>
      <c r="L412" t="s">
        <v>21</v>
      </c>
      <c r="M412" s="1">
        <v>43791</v>
      </c>
      <c r="N412" t="s">
        <v>102</v>
      </c>
      <c r="O412" t="str">
        <f t="shared" si="12"/>
        <v>YES</v>
      </c>
      <c r="P412" t="str">
        <f t="shared" si="13"/>
        <v>NO</v>
      </c>
    </row>
    <row r="413" spans="1:16" x14ac:dyDescent="0.3">
      <c r="A413">
        <v>412</v>
      </c>
      <c r="B413">
        <v>94</v>
      </c>
      <c r="C413">
        <v>40</v>
      </c>
      <c r="D413">
        <v>50</v>
      </c>
      <c r="E413">
        <v>6</v>
      </c>
      <c r="F413">
        <v>6</v>
      </c>
      <c r="G413">
        <v>188</v>
      </c>
      <c r="H413">
        <v>3</v>
      </c>
      <c r="I413" t="s">
        <v>66</v>
      </c>
      <c r="J413">
        <v>2</v>
      </c>
      <c r="K413" t="s">
        <v>60</v>
      </c>
      <c r="L413" t="s">
        <v>19</v>
      </c>
      <c r="M413" s="1">
        <v>43805</v>
      </c>
      <c r="N413" t="s">
        <v>104</v>
      </c>
      <c r="O413" t="str">
        <f t="shared" si="12"/>
        <v>NO</v>
      </c>
      <c r="P413" t="str">
        <f t="shared" si="13"/>
        <v>YES</v>
      </c>
    </row>
    <row r="414" spans="1:16" x14ac:dyDescent="0.3">
      <c r="A414">
        <v>413</v>
      </c>
      <c r="B414">
        <v>19</v>
      </c>
      <c r="C414">
        <v>15</v>
      </c>
      <c r="D414">
        <v>17</v>
      </c>
      <c r="E414">
        <v>2</v>
      </c>
      <c r="F414">
        <v>0</v>
      </c>
      <c r="G414">
        <v>111.76</v>
      </c>
      <c r="H414">
        <v>4</v>
      </c>
      <c r="I414" t="s">
        <v>0</v>
      </c>
      <c r="J414">
        <v>1</v>
      </c>
      <c r="K414" t="s">
        <v>60</v>
      </c>
      <c r="L414" t="s">
        <v>87</v>
      </c>
      <c r="M414" s="1">
        <v>43807</v>
      </c>
      <c r="N414" t="s">
        <v>104</v>
      </c>
      <c r="O414" t="str">
        <f t="shared" si="12"/>
        <v>NO</v>
      </c>
      <c r="P414" t="str">
        <f t="shared" si="13"/>
        <v>NO</v>
      </c>
    </row>
    <row r="415" spans="1:16" x14ac:dyDescent="0.3">
      <c r="A415">
        <v>414</v>
      </c>
      <c r="B415">
        <v>70</v>
      </c>
      <c r="C415">
        <v>25</v>
      </c>
      <c r="D415">
        <v>29</v>
      </c>
      <c r="E415">
        <v>4</v>
      </c>
      <c r="F415">
        <v>7</v>
      </c>
      <c r="G415">
        <v>241.37</v>
      </c>
      <c r="H415">
        <v>4</v>
      </c>
      <c r="I415" t="s">
        <v>66</v>
      </c>
      <c r="J415">
        <v>1</v>
      </c>
      <c r="K415" t="s">
        <v>60</v>
      </c>
      <c r="L415" t="s">
        <v>20</v>
      </c>
      <c r="M415" s="1">
        <v>43810</v>
      </c>
      <c r="N415" t="s">
        <v>104</v>
      </c>
      <c r="O415" t="str">
        <f t="shared" si="12"/>
        <v>NO</v>
      </c>
      <c r="P415" t="str">
        <f t="shared" si="13"/>
        <v>YES</v>
      </c>
    </row>
    <row r="416" spans="1:16" x14ac:dyDescent="0.3">
      <c r="A416">
        <v>415</v>
      </c>
      <c r="B416">
        <v>4</v>
      </c>
      <c r="C416">
        <v>2</v>
      </c>
      <c r="D416">
        <v>4</v>
      </c>
      <c r="E416">
        <v>1</v>
      </c>
      <c r="F416">
        <v>0</v>
      </c>
      <c r="G416">
        <v>100</v>
      </c>
      <c r="H416">
        <v>3</v>
      </c>
      <c r="I416" t="s">
        <v>7</v>
      </c>
      <c r="J416">
        <v>1</v>
      </c>
      <c r="K416" t="s">
        <v>60</v>
      </c>
      <c r="L416" t="s">
        <v>30</v>
      </c>
      <c r="M416" s="1">
        <v>43814</v>
      </c>
      <c r="N416" t="s">
        <v>103</v>
      </c>
      <c r="O416" t="str">
        <f t="shared" si="12"/>
        <v>NO</v>
      </c>
      <c r="P416" t="str">
        <f t="shared" si="13"/>
        <v>NO</v>
      </c>
    </row>
    <row r="417" spans="1:16" x14ac:dyDescent="0.3">
      <c r="A417">
        <v>416</v>
      </c>
      <c r="B417">
        <v>0</v>
      </c>
      <c r="C417">
        <v>1</v>
      </c>
      <c r="D417">
        <v>1</v>
      </c>
      <c r="E417">
        <v>0</v>
      </c>
      <c r="F417">
        <v>0</v>
      </c>
      <c r="G417">
        <v>0</v>
      </c>
      <c r="H417">
        <v>3</v>
      </c>
      <c r="I417" t="s">
        <v>0</v>
      </c>
      <c r="J417">
        <v>1</v>
      </c>
      <c r="K417" t="s">
        <v>60</v>
      </c>
      <c r="L417" t="s">
        <v>11</v>
      </c>
      <c r="M417" s="1">
        <v>43817</v>
      </c>
      <c r="N417" t="s">
        <v>103</v>
      </c>
      <c r="O417" t="str">
        <f t="shared" si="12"/>
        <v>NO</v>
      </c>
      <c r="P417" t="str">
        <f t="shared" si="13"/>
        <v>NO</v>
      </c>
    </row>
    <row r="418" spans="1:16" x14ac:dyDescent="0.3">
      <c r="A418">
        <v>417</v>
      </c>
      <c r="B418">
        <v>85</v>
      </c>
      <c r="C418">
        <v>60</v>
      </c>
      <c r="D418">
        <v>81</v>
      </c>
      <c r="E418">
        <v>9</v>
      </c>
      <c r="F418">
        <v>0</v>
      </c>
      <c r="G418">
        <v>104.93</v>
      </c>
      <c r="H418">
        <v>3</v>
      </c>
      <c r="I418" t="s">
        <v>7</v>
      </c>
      <c r="J418">
        <v>2</v>
      </c>
      <c r="K418" t="s">
        <v>60</v>
      </c>
      <c r="L418" t="s">
        <v>44</v>
      </c>
      <c r="M418" s="1">
        <v>43821</v>
      </c>
      <c r="N418" t="s">
        <v>103</v>
      </c>
      <c r="O418" t="str">
        <f t="shared" si="12"/>
        <v>NO</v>
      </c>
      <c r="P418" t="str">
        <f t="shared" si="13"/>
        <v>YES</v>
      </c>
    </row>
    <row r="419" spans="1:16" x14ac:dyDescent="0.3">
      <c r="A419">
        <v>418</v>
      </c>
      <c r="B419">
        <v>30</v>
      </c>
      <c r="C419">
        <v>25</v>
      </c>
      <c r="D419">
        <v>17</v>
      </c>
      <c r="E419">
        <v>1</v>
      </c>
      <c r="F419">
        <v>2</v>
      </c>
      <c r="G419">
        <v>176.47</v>
      </c>
      <c r="H419">
        <v>4</v>
      </c>
      <c r="I419" t="s">
        <v>66</v>
      </c>
      <c r="J419">
        <v>2</v>
      </c>
      <c r="K419" t="s">
        <v>74</v>
      </c>
      <c r="L419" t="s">
        <v>46</v>
      </c>
      <c r="M419" s="1">
        <v>43837</v>
      </c>
      <c r="N419" t="s">
        <v>104</v>
      </c>
      <c r="O419" t="str">
        <f t="shared" si="12"/>
        <v>NO</v>
      </c>
      <c r="P419" t="str">
        <f t="shared" si="13"/>
        <v>NO</v>
      </c>
    </row>
    <row r="420" spans="1:16" x14ac:dyDescent="0.3">
      <c r="A420">
        <v>419</v>
      </c>
      <c r="B420">
        <v>26</v>
      </c>
      <c r="C420">
        <v>15</v>
      </c>
      <c r="D420">
        <v>17</v>
      </c>
      <c r="E420">
        <v>2</v>
      </c>
      <c r="F420">
        <v>1</v>
      </c>
      <c r="G420">
        <v>152.94</v>
      </c>
      <c r="H420">
        <v>6</v>
      </c>
      <c r="I420" t="s">
        <v>64</v>
      </c>
      <c r="J420">
        <v>1</v>
      </c>
      <c r="K420" t="s">
        <v>74</v>
      </c>
      <c r="L420" t="s">
        <v>29</v>
      </c>
      <c r="M420" s="1">
        <v>43840</v>
      </c>
      <c r="N420" t="s">
        <v>104</v>
      </c>
      <c r="O420" t="str">
        <f t="shared" si="12"/>
        <v>NO</v>
      </c>
      <c r="P420" t="str">
        <f t="shared" si="13"/>
        <v>NO</v>
      </c>
    </row>
    <row r="421" spans="1:16" x14ac:dyDescent="0.3">
      <c r="A421">
        <v>420</v>
      </c>
      <c r="B421">
        <v>16</v>
      </c>
      <c r="C421">
        <v>19</v>
      </c>
      <c r="D421">
        <v>14</v>
      </c>
      <c r="E421">
        <v>0</v>
      </c>
      <c r="F421">
        <v>1</v>
      </c>
      <c r="G421">
        <v>114.28</v>
      </c>
      <c r="H421">
        <v>4</v>
      </c>
      <c r="I421" t="s">
        <v>0</v>
      </c>
      <c r="J421">
        <v>1</v>
      </c>
      <c r="K421" t="s">
        <v>63</v>
      </c>
      <c r="L421" t="s">
        <v>20</v>
      </c>
      <c r="M421" s="1">
        <v>43844</v>
      </c>
      <c r="N421" t="s">
        <v>103</v>
      </c>
      <c r="O421" t="str">
        <f t="shared" si="12"/>
        <v>NO</v>
      </c>
      <c r="P421" t="str">
        <f t="shared" si="13"/>
        <v>NO</v>
      </c>
    </row>
    <row r="422" spans="1:16" x14ac:dyDescent="0.3">
      <c r="A422">
        <v>421</v>
      </c>
      <c r="B422">
        <v>78</v>
      </c>
      <c r="C422">
        <v>45</v>
      </c>
      <c r="D422">
        <v>76</v>
      </c>
      <c r="E422">
        <v>6</v>
      </c>
      <c r="F422">
        <v>0</v>
      </c>
      <c r="G422">
        <v>102.63</v>
      </c>
      <c r="H422">
        <v>3</v>
      </c>
      <c r="I422" t="s">
        <v>0</v>
      </c>
      <c r="J422">
        <v>1</v>
      </c>
      <c r="K422" t="s">
        <v>63</v>
      </c>
      <c r="L422" t="s">
        <v>31</v>
      </c>
      <c r="M422" s="1">
        <v>43847</v>
      </c>
      <c r="N422" t="s">
        <v>103</v>
      </c>
      <c r="O422" t="str">
        <f t="shared" si="12"/>
        <v>NO</v>
      </c>
      <c r="P422" t="str">
        <f t="shared" si="13"/>
        <v>YES</v>
      </c>
    </row>
    <row r="423" spans="1:16" x14ac:dyDescent="0.3">
      <c r="A423">
        <v>422</v>
      </c>
      <c r="B423">
        <v>89</v>
      </c>
      <c r="C423">
        <v>50</v>
      </c>
      <c r="D423">
        <v>91</v>
      </c>
      <c r="E423">
        <v>8</v>
      </c>
      <c r="F423">
        <v>0</v>
      </c>
      <c r="G423">
        <v>97.8</v>
      </c>
      <c r="H423">
        <v>3</v>
      </c>
      <c r="I423" t="s">
        <v>7</v>
      </c>
      <c r="J423">
        <v>2</v>
      </c>
      <c r="K423" t="s">
        <v>63</v>
      </c>
      <c r="L423" t="s">
        <v>12</v>
      </c>
      <c r="M423" s="1">
        <v>43849</v>
      </c>
      <c r="N423" t="s">
        <v>103</v>
      </c>
      <c r="O423" t="str">
        <f t="shared" si="12"/>
        <v>NO</v>
      </c>
      <c r="P423" t="str">
        <f t="shared" si="13"/>
        <v>YES</v>
      </c>
    </row>
    <row r="424" spans="1:16" x14ac:dyDescent="0.3">
      <c r="A424">
        <v>423</v>
      </c>
      <c r="B424">
        <v>45</v>
      </c>
      <c r="C424">
        <v>30</v>
      </c>
      <c r="D424">
        <v>32</v>
      </c>
      <c r="E424">
        <v>3</v>
      </c>
      <c r="F424">
        <v>1</v>
      </c>
      <c r="G424">
        <v>140.62</v>
      </c>
      <c r="H424">
        <v>3</v>
      </c>
      <c r="I424" t="s">
        <v>0</v>
      </c>
      <c r="J424">
        <v>2</v>
      </c>
      <c r="K424" t="s">
        <v>65</v>
      </c>
      <c r="L424" t="s">
        <v>42</v>
      </c>
      <c r="M424" s="1">
        <v>43854</v>
      </c>
      <c r="N424" t="s">
        <v>104</v>
      </c>
      <c r="O424" t="str">
        <f t="shared" si="12"/>
        <v>NO</v>
      </c>
      <c r="P424" t="str">
        <f t="shared" si="13"/>
        <v>NO</v>
      </c>
    </row>
    <row r="425" spans="1:16" x14ac:dyDescent="0.3">
      <c r="A425">
        <v>424</v>
      </c>
      <c r="B425">
        <v>11</v>
      </c>
      <c r="C425">
        <v>21</v>
      </c>
      <c r="D425">
        <v>12</v>
      </c>
      <c r="E425">
        <v>1</v>
      </c>
      <c r="F425">
        <v>0</v>
      </c>
      <c r="G425">
        <v>91.66</v>
      </c>
      <c r="H425">
        <v>3</v>
      </c>
      <c r="I425" t="s">
        <v>0</v>
      </c>
      <c r="J425">
        <v>2</v>
      </c>
      <c r="K425" t="s">
        <v>65</v>
      </c>
      <c r="L425" t="s">
        <v>42</v>
      </c>
      <c r="M425" s="1">
        <v>43856</v>
      </c>
      <c r="N425" t="s">
        <v>104</v>
      </c>
      <c r="O425" t="str">
        <f t="shared" si="12"/>
        <v>NO</v>
      </c>
      <c r="P425" t="str">
        <f t="shared" si="13"/>
        <v>NO</v>
      </c>
    </row>
    <row r="426" spans="1:16" x14ac:dyDescent="0.3">
      <c r="A426">
        <v>425</v>
      </c>
      <c r="B426">
        <v>38</v>
      </c>
      <c r="C426">
        <v>31</v>
      </c>
      <c r="D426">
        <v>27</v>
      </c>
      <c r="E426">
        <v>2</v>
      </c>
      <c r="F426">
        <v>1</v>
      </c>
      <c r="G426">
        <v>140.74</v>
      </c>
      <c r="H426">
        <v>4</v>
      </c>
      <c r="I426" t="s">
        <v>0</v>
      </c>
      <c r="J426">
        <v>1</v>
      </c>
      <c r="K426" t="s">
        <v>65</v>
      </c>
      <c r="L426" t="s">
        <v>41</v>
      </c>
      <c r="M426" s="1">
        <v>43859</v>
      </c>
      <c r="N426" t="s">
        <v>104</v>
      </c>
      <c r="O426" t="str">
        <f t="shared" si="12"/>
        <v>NO</v>
      </c>
      <c r="P426" t="str">
        <f t="shared" si="13"/>
        <v>NO</v>
      </c>
    </row>
    <row r="427" spans="1:16" x14ac:dyDescent="0.3">
      <c r="A427">
        <v>426</v>
      </c>
      <c r="B427">
        <v>11</v>
      </c>
      <c r="C427">
        <v>16</v>
      </c>
      <c r="D427">
        <v>9</v>
      </c>
      <c r="E427">
        <v>2</v>
      </c>
      <c r="F427">
        <v>0</v>
      </c>
      <c r="G427">
        <v>122.22</v>
      </c>
      <c r="H427">
        <v>3</v>
      </c>
      <c r="I427" t="s">
        <v>0</v>
      </c>
      <c r="J427">
        <v>1</v>
      </c>
      <c r="K427" t="s">
        <v>65</v>
      </c>
      <c r="L427" t="s">
        <v>71</v>
      </c>
      <c r="M427" s="1">
        <v>43861</v>
      </c>
      <c r="N427" t="s">
        <v>104</v>
      </c>
      <c r="O427" t="str">
        <f t="shared" si="12"/>
        <v>NO</v>
      </c>
      <c r="P427" t="str">
        <f t="shared" si="13"/>
        <v>NO</v>
      </c>
    </row>
    <row r="428" spans="1:16" x14ac:dyDescent="0.3">
      <c r="A428">
        <v>427</v>
      </c>
      <c r="B428">
        <v>51</v>
      </c>
      <c r="C428">
        <v>88</v>
      </c>
      <c r="D428">
        <v>63</v>
      </c>
      <c r="E428">
        <v>6</v>
      </c>
      <c r="F428">
        <v>0</v>
      </c>
      <c r="G428">
        <v>80.95</v>
      </c>
      <c r="H428">
        <v>3</v>
      </c>
      <c r="I428" t="s">
        <v>7</v>
      </c>
      <c r="J428">
        <v>1</v>
      </c>
      <c r="K428" t="s">
        <v>65</v>
      </c>
      <c r="L428" t="s">
        <v>41</v>
      </c>
      <c r="M428" s="1">
        <v>43866</v>
      </c>
      <c r="N428" t="s">
        <v>103</v>
      </c>
      <c r="O428" t="str">
        <f t="shared" si="12"/>
        <v>NO</v>
      </c>
      <c r="P428" t="str">
        <f t="shared" si="13"/>
        <v>YES</v>
      </c>
    </row>
    <row r="429" spans="1:16" x14ac:dyDescent="0.3">
      <c r="A429">
        <v>428</v>
      </c>
      <c r="B429">
        <v>15</v>
      </c>
      <c r="C429">
        <v>31</v>
      </c>
      <c r="D429">
        <v>25</v>
      </c>
      <c r="E429">
        <v>1</v>
      </c>
      <c r="F429">
        <v>0</v>
      </c>
      <c r="G429">
        <v>60</v>
      </c>
      <c r="H429">
        <v>3</v>
      </c>
      <c r="I429" t="s">
        <v>7</v>
      </c>
      <c r="J429">
        <v>2</v>
      </c>
      <c r="K429" t="s">
        <v>65</v>
      </c>
      <c r="L429" t="s">
        <v>42</v>
      </c>
      <c r="M429" s="1">
        <v>43869</v>
      </c>
      <c r="N429" t="s">
        <v>103</v>
      </c>
      <c r="O429" t="str">
        <f t="shared" si="12"/>
        <v>NO</v>
      </c>
      <c r="P429" t="str">
        <f t="shared" si="13"/>
        <v>NO</v>
      </c>
    </row>
    <row r="430" spans="1:16" x14ac:dyDescent="0.3">
      <c r="A430">
        <v>429</v>
      </c>
      <c r="B430">
        <v>9</v>
      </c>
      <c r="C430">
        <v>20</v>
      </c>
      <c r="D430">
        <v>12</v>
      </c>
      <c r="E430">
        <v>0</v>
      </c>
      <c r="F430">
        <v>1</v>
      </c>
      <c r="G430">
        <v>75</v>
      </c>
      <c r="H430">
        <v>3</v>
      </c>
      <c r="I430" t="s">
        <v>0</v>
      </c>
      <c r="J430">
        <v>1</v>
      </c>
      <c r="K430" t="s">
        <v>65</v>
      </c>
      <c r="L430" t="s">
        <v>99</v>
      </c>
      <c r="M430" s="1">
        <v>43872</v>
      </c>
      <c r="N430" t="s">
        <v>103</v>
      </c>
      <c r="O430" t="str">
        <f t="shared" si="12"/>
        <v>NO</v>
      </c>
      <c r="P430" t="str">
        <f t="shared" si="13"/>
        <v>NO</v>
      </c>
    </row>
    <row r="431" spans="1:16" x14ac:dyDescent="0.3">
      <c r="A431">
        <v>430</v>
      </c>
      <c r="B431">
        <v>2</v>
      </c>
      <c r="C431">
        <v>9</v>
      </c>
      <c r="D431">
        <v>7</v>
      </c>
      <c r="E431">
        <v>0</v>
      </c>
      <c r="F431">
        <v>0</v>
      </c>
      <c r="G431">
        <v>28.57</v>
      </c>
      <c r="H431">
        <v>4</v>
      </c>
      <c r="I431" t="s">
        <v>0</v>
      </c>
      <c r="J431">
        <v>1</v>
      </c>
      <c r="K431" t="s">
        <v>65</v>
      </c>
      <c r="L431" t="s">
        <v>71</v>
      </c>
      <c r="M431" s="1">
        <v>43882</v>
      </c>
      <c r="N431" t="s">
        <v>102</v>
      </c>
      <c r="O431" t="str">
        <f t="shared" si="12"/>
        <v>NO</v>
      </c>
      <c r="P431" t="str">
        <f t="shared" si="13"/>
        <v>NO</v>
      </c>
    </row>
    <row r="432" spans="1:16" x14ac:dyDescent="0.3">
      <c r="A432">
        <v>431</v>
      </c>
      <c r="B432">
        <v>19</v>
      </c>
      <c r="C432">
        <v>61</v>
      </c>
      <c r="D432">
        <v>43</v>
      </c>
      <c r="E432">
        <v>3</v>
      </c>
      <c r="F432">
        <v>0</v>
      </c>
      <c r="G432">
        <v>44.18</v>
      </c>
      <c r="H432">
        <v>4</v>
      </c>
      <c r="I432" t="s">
        <v>0</v>
      </c>
      <c r="J432">
        <v>3</v>
      </c>
      <c r="K432" t="s">
        <v>65</v>
      </c>
      <c r="L432" t="s">
        <v>71</v>
      </c>
      <c r="M432" s="1">
        <v>43882</v>
      </c>
      <c r="N432" t="s">
        <v>102</v>
      </c>
      <c r="O432" t="str">
        <f t="shared" si="12"/>
        <v>NO</v>
      </c>
      <c r="P432" t="str">
        <f t="shared" si="13"/>
        <v>NO</v>
      </c>
    </row>
    <row r="433" spans="1:16" x14ac:dyDescent="0.3">
      <c r="A433">
        <v>432</v>
      </c>
      <c r="B433">
        <v>3</v>
      </c>
      <c r="C433">
        <v>23</v>
      </c>
      <c r="D433">
        <v>15</v>
      </c>
      <c r="E433">
        <v>0</v>
      </c>
      <c r="F433">
        <v>0</v>
      </c>
      <c r="G433">
        <v>20</v>
      </c>
      <c r="H433">
        <v>4</v>
      </c>
      <c r="I433" t="s">
        <v>4</v>
      </c>
      <c r="J433">
        <v>1</v>
      </c>
      <c r="K433" t="s">
        <v>65</v>
      </c>
      <c r="L433" t="s">
        <v>81</v>
      </c>
      <c r="M433" s="1">
        <v>43890</v>
      </c>
      <c r="N433" t="s">
        <v>102</v>
      </c>
      <c r="O433" t="str">
        <f t="shared" si="12"/>
        <v>NO</v>
      </c>
      <c r="P433" t="str">
        <f t="shared" si="13"/>
        <v>NO</v>
      </c>
    </row>
    <row r="434" spans="1:16" x14ac:dyDescent="0.3">
      <c r="A434">
        <v>433</v>
      </c>
      <c r="B434">
        <v>14</v>
      </c>
      <c r="C434">
        <v>40</v>
      </c>
      <c r="D434">
        <v>30</v>
      </c>
      <c r="E434">
        <v>3</v>
      </c>
      <c r="F434">
        <v>0</v>
      </c>
      <c r="G434">
        <v>46.66</v>
      </c>
      <c r="H434">
        <v>4</v>
      </c>
      <c r="I434" t="s">
        <v>4</v>
      </c>
      <c r="J434">
        <v>3</v>
      </c>
      <c r="K434" t="s">
        <v>65</v>
      </c>
      <c r="L434" t="s">
        <v>81</v>
      </c>
      <c r="M434" s="1">
        <v>43890</v>
      </c>
      <c r="N434" t="s">
        <v>102</v>
      </c>
      <c r="O434" t="str">
        <f t="shared" si="12"/>
        <v>NO</v>
      </c>
      <c r="P434" t="str">
        <f t="shared" si="13"/>
        <v>NO</v>
      </c>
    </row>
    <row r="435" spans="1:16" x14ac:dyDescent="0.3">
      <c r="A435">
        <v>434</v>
      </c>
      <c r="B435">
        <v>21</v>
      </c>
      <c r="C435">
        <v>15</v>
      </c>
      <c r="D435">
        <v>21</v>
      </c>
      <c r="E435">
        <v>2</v>
      </c>
      <c r="F435">
        <v>1</v>
      </c>
      <c r="G435">
        <v>100</v>
      </c>
      <c r="H435">
        <v>3</v>
      </c>
      <c r="I435" t="s">
        <v>0</v>
      </c>
      <c r="J435">
        <v>2</v>
      </c>
      <c r="K435" t="s">
        <v>63</v>
      </c>
      <c r="L435" t="s">
        <v>23</v>
      </c>
      <c r="M435" s="1">
        <v>44162</v>
      </c>
      <c r="N435" t="s">
        <v>103</v>
      </c>
      <c r="O435" t="str">
        <f t="shared" si="12"/>
        <v>NO</v>
      </c>
      <c r="P435" t="str">
        <f t="shared" si="13"/>
        <v>NO</v>
      </c>
    </row>
    <row r="436" spans="1:16" x14ac:dyDescent="0.3">
      <c r="A436">
        <v>435</v>
      </c>
      <c r="B436">
        <v>89</v>
      </c>
      <c r="C436">
        <v>45</v>
      </c>
      <c r="D436">
        <v>87</v>
      </c>
      <c r="E436">
        <v>7</v>
      </c>
      <c r="F436">
        <v>2</v>
      </c>
      <c r="G436">
        <v>102.29</v>
      </c>
      <c r="H436">
        <v>3</v>
      </c>
      <c r="I436" t="s">
        <v>0</v>
      </c>
      <c r="J436">
        <v>2</v>
      </c>
      <c r="K436" t="s">
        <v>63</v>
      </c>
      <c r="L436" t="s">
        <v>23</v>
      </c>
      <c r="M436" s="1">
        <v>44164</v>
      </c>
      <c r="N436" t="s">
        <v>103</v>
      </c>
      <c r="O436" t="str">
        <f t="shared" si="12"/>
        <v>NO</v>
      </c>
      <c r="P436" t="str">
        <f t="shared" si="13"/>
        <v>YES</v>
      </c>
    </row>
    <row r="437" spans="1:16" x14ac:dyDescent="0.3">
      <c r="A437">
        <v>436</v>
      </c>
      <c r="B437">
        <v>63</v>
      </c>
      <c r="C437">
        <v>40</v>
      </c>
      <c r="D437">
        <v>78</v>
      </c>
      <c r="E437">
        <v>5</v>
      </c>
      <c r="F437">
        <v>0</v>
      </c>
      <c r="G437">
        <v>80.760000000000005</v>
      </c>
      <c r="H437">
        <v>3</v>
      </c>
      <c r="I437" t="s">
        <v>0</v>
      </c>
      <c r="J437">
        <v>1</v>
      </c>
      <c r="K437" t="s">
        <v>63</v>
      </c>
      <c r="L437" t="s">
        <v>43</v>
      </c>
      <c r="M437" s="1">
        <v>44167</v>
      </c>
      <c r="N437" t="s">
        <v>103</v>
      </c>
      <c r="O437" t="str">
        <f t="shared" si="12"/>
        <v>NO</v>
      </c>
      <c r="P437" t="str">
        <f t="shared" si="13"/>
        <v>YES</v>
      </c>
    </row>
    <row r="438" spans="1:16" x14ac:dyDescent="0.3">
      <c r="A438">
        <v>437</v>
      </c>
      <c r="B438">
        <v>9</v>
      </c>
      <c r="C438">
        <v>5</v>
      </c>
      <c r="D438">
        <v>9</v>
      </c>
      <c r="E438">
        <v>1</v>
      </c>
      <c r="F438">
        <v>0</v>
      </c>
      <c r="G438">
        <v>100</v>
      </c>
      <c r="H438">
        <v>3</v>
      </c>
      <c r="I438" t="s">
        <v>0</v>
      </c>
      <c r="J438">
        <v>1</v>
      </c>
      <c r="K438" t="s">
        <v>63</v>
      </c>
      <c r="L438" t="s">
        <v>43</v>
      </c>
      <c r="M438" s="1">
        <v>44169</v>
      </c>
      <c r="N438" t="s">
        <v>104</v>
      </c>
      <c r="O438" t="str">
        <f t="shared" si="12"/>
        <v>NO</v>
      </c>
      <c r="P438" t="str">
        <f t="shared" si="13"/>
        <v>NO</v>
      </c>
    </row>
    <row r="439" spans="1:16" x14ac:dyDescent="0.3">
      <c r="A439">
        <v>438</v>
      </c>
      <c r="B439">
        <v>40</v>
      </c>
      <c r="C439">
        <v>30</v>
      </c>
      <c r="D439">
        <v>24</v>
      </c>
      <c r="E439">
        <v>2</v>
      </c>
      <c r="F439">
        <v>2</v>
      </c>
      <c r="G439">
        <v>166.66</v>
      </c>
      <c r="H439">
        <v>3</v>
      </c>
      <c r="I439" t="s">
        <v>0</v>
      </c>
      <c r="J439">
        <v>2</v>
      </c>
      <c r="K439" t="s">
        <v>63</v>
      </c>
      <c r="L439" t="s">
        <v>23</v>
      </c>
      <c r="M439" s="1">
        <v>44171</v>
      </c>
      <c r="N439" t="s">
        <v>104</v>
      </c>
      <c r="O439" t="str">
        <f t="shared" si="12"/>
        <v>NO</v>
      </c>
      <c r="P439" t="str">
        <f t="shared" si="13"/>
        <v>NO</v>
      </c>
    </row>
    <row r="440" spans="1:16" x14ac:dyDescent="0.3">
      <c r="A440">
        <v>439</v>
      </c>
      <c r="B440">
        <v>85</v>
      </c>
      <c r="C440">
        <v>60</v>
      </c>
      <c r="D440">
        <v>61</v>
      </c>
      <c r="E440">
        <v>4</v>
      </c>
      <c r="F440">
        <v>3</v>
      </c>
      <c r="G440">
        <v>139.34</v>
      </c>
      <c r="H440">
        <v>3</v>
      </c>
      <c r="I440" t="s">
        <v>0</v>
      </c>
      <c r="J440">
        <v>2</v>
      </c>
      <c r="K440" t="s">
        <v>63</v>
      </c>
      <c r="L440" t="s">
        <v>23</v>
      </c>
      <c r="M440" s="1">
        <v>44173</v>
      </c>
      <c r="N440" t="s">
        <v>104</v>
      </c>
      <c r="O440" t="str">
        <f t="shared" si="12"/>
        <v>NO</v>
      </c>
      <c r="P440" t="str">
        <f t="shared" si="13"/>
        <v>YES</v>
      </c>
    </row>
    <row r="441" spans="1:16" x14ac:dyDescent="0.3">
      <c r="A441">
        <v>440</v>
      </c>
      <c r="B441">
        <v>74</v>
      </c>
      <c r="C441">
        <v>244</v>
      </c>
      <c r="D441">
        <v>180</v>
      </c>
      <c r="E441">
        <v>8</v>
      </c>
      <c r="F441">
        <v>0</v>
      </c>
      <c r="G441">
        <v>41.11</v>
      </c>
      <c r="H441">
        <v>4</v>
      </c>
      <c r="I441" t="s">
        <v>64</v>
      </c>
      <c r="J441">
        <v>1</v>
      </c>
      <c r="K441" t="s">
        <v>63</v>
      </c>
      <c r="L441" t="s">
        <v>25</v>
      </c>
      <c r="M441" s="1">
        <v>44182</v>
      </c>
      <c r="N441" t="s">
        <v>102</v>
      </c>
      <c r="O441" t="str">
        <f t="shared" si="12"/>
        <v>NO</v>
      </c>
      <c r="P441" t="str">
        <f t="shared" si="13"/>
        <v>YES</v>
      </c>
    </row>
    <row r="442" spans="1:16" x14ac:dyDescent="0.3">
      <c r="A442">
        <v>441</v>
      </c>
      <c r="B442">
        <v>4</v>
      </c>
      <c r="C442">
        <v>13</v>
      </c>
      <c r="D442">
        <v>8</v>
      </c>
      <c r="E442">
        <v>1</v>
      </c>
      <c r="F442">
        <v>0</v>
      </c>
      <c r="G442">
        <v>50</v>
      </c>
      <c r="H442">
        <v>5</v>
      </c>
      <c r="I442" t="s">
        <v>0</v>
      </c>
      <c r="J442">
        <v>3</v>
      </c>
      <c r="K442" t="s">
        <v>63</v>
      </c>
      <c r="L442" t="s">
        <v>25</v>
      </c>
      <c r="M442" s="1">
        <v>44182</v>
      </c>
      <c r="N442" t="s">
        <v>102</v>
      </c>
      <c r="O442" t="str">
        <f t="shared" si="12"/>
        <v>NO</v>
      </c>
      <c r="P442" t="str">
        <f t="shared" si="13"/>
        <v>NO</v>
      </c>
    </row>
    <row r="443" spans="1:16" x14ac:dyDescent="0.3">
      <c r="A443">
        <v>442</v>
      </c>
      <c r="B443">
        <v>11</v>
      </c>
      <c r="C443">
        <v>69</v>
      </c>
      <c r="D443">
        <v>48</v>
      </c>
      <c r="E443">
        <v>0</v>
      </c>
      <c r="F443">
        <v>0</v>
      </c>
      <c r="G443">
        <v>22.91</v>
      </c>
      <c r="H443">
        <v>4</v>
      </c>
      <c r="I443" t="s">
        <v>0</v>
      </c>
      <c r="J443">
        <v>2</v>
      </c>
      <c r="K443" t="s">
        <v>67</v>
      </c>
      <c r="L443" t="s">
        <v>30</v>
      </c>
      <c r="M443" s="1">
        <v>44232</v>
      </c>
      <c r="N443" t="s">
        <v>102</v>
      </c>
      <c r="O443" t="str">
        <f t="shared" si="12"/>
        <v>NO</v>
      </c>
      <c r="P443" t="str">
        <f t="shared" si="13"/>
        <v>NO</v>
      </c>
    </row>
    <row r="444" spans="1:16" x14ac:dyDescent="0.3">
      <c r="A444">
        <v>443</v>
      </c>
      <c r="B444">
        <v>72</v>
      </c>
      <c r="C444">
        <v>153</v>
      </c>
      <c r="D444">
        <v>104</v>
      </c>
      <c r="E444">
        <v>9</v>
      </c>
      <c r="F444">
        <v>0</v>
      </c>
      <c r="G444">
        <v>69.23</v>
      </c>
      <c r="H444">
        <v>4</v>
      </c>
      <c r="I444" t="s">
        <v>7</v>
      </c>
      <c r="J444">
        <v>4</v>
      </c>
      <c r="K444" t="s">
        <v>67</v>
      </c>
      <c r="L444" t="s">
        <v>30</v>
      </c>
      <c r="M444" s="1">
        <v>44232</v>
      </c>
      <c r="N444" t="s">
        <v>102</v>
      </c>
      <c r="O444" t="str">
        <f t="shared" si="12"/>
        <v>NO</v>
      </c>
      <c r="P444" t="str">
        <f t="shared" si="13"/>
        <v>YES</v>
      </c>
    </row>
    <row r="445" spans="1:16" x14ac:dyDescent="0.3">
      <c r="A445">
        <v>444</v>
      </c>
      <c r="B445">
        <v>0</v>
      </c>
      <c r="C445">
        <v>6</v>
      </c>
      <c r="D445">
        <v>5</v>
      </c>
      <c r="E445">
        <v>0</v>
      </c>
      <c r="F445">
        <v>0</v>
      </c>
      <c r="G445">
        <v>0</v>
      </c>
      <c r="H445">
        <v>4</v>
      </c>
      <c r="I445" t="s">
        <v>7</v>
      </c>
      <c r="J445">
        <v>1</v>
      </c>
      <c r="K445" t="s">
        <v>67</v>
      </c>
      <c r="L445" t="s">
        <v>30</v>
      </c>
      <c r="M445" s="1">
        <v>44240</v>
      </c>
      <c r="N445" t="s">
        <v>102</v>
      </c>
      <c r="O445" t="str">
        <f t="shared" si="12"/>
        <v>NO</v>
      </c>
      <c r="P445" t="str">
        <f t="shared" si="13"/>
        <v>NO</v>
      </c>
    </row>
    <row r="446" spans="1:16" x14ac:dyDescent="0.3">
      <c r="A446">
        <v>445</v>
      </c>
      <c r="B446">
        <v>62</v>
      </c>
      <c r="C446">
        <v>200</v>
      </c>
      <c r="D446">
        <v>149</v>
      </c>
      <c r="E446">
        <v>7</v>
      </c>
      <c r="F446">
        <v>0</v>
      </c>
      <c r="G446">
        <v>41.61</v>
      </c>
      <c r="H446">
        <v>4</v>
      </c>
      <c r="I446" t="s">
        <v>4</v>
      </c>
      <c r="J446">
        <v>3</v>
      </c>
      <c r="K446" t="s">
        <v>67</v>
      </c>
      <c r="L446" t="s">
        <v>30</v>
      </c>
      <c r="M446" s="1">
        <v>44240</v>
      </c>
      <c r="N446" t="s">
        <v>102</v>
      </c>
      <c r="O446" t="str">
        <f t="shared" si="12"/>
        <v>NO</v>
      </c>
      <c r="P446" t="str">
        <f t="shared" si="13"/>
        <v>YES</v>
      </c>
    </row>
    <row r="447" spans="1:16" x14ac:dyDescent="0.3">
      <c r="A447">
        <v>446</v>
      </c>
      <c r="B447">
        <v>27</v>
      </c>
      <c r="C447">
        <v>85</v>
      </c>
      <c r="D447">
        <v>58</v>
      </c>
      <c r="E447">
        <v>3</v>
      </c>
      <c r="F447">
        <v>0</v>
      </c>
      <c r="G447">
        <v>46.55</v>
      </c>
      <c r="H447">
        <v>4</v>
      </c>
      <c r="I447" t="s">
        <v>7</v>
      </c>
      <c r="J447">
        <v>2</v>
      </c>
      <c r="K447" t="s">
        <v>67</v>
      </c>
      <c r="L447" t="s">
        <v>14</v>
      </c>
      <c r="M447" s="1">
        <v>44251</v>
      </c>
      <c r="N447" t="s">
        <v>102</v>
      </c>
      <c r="O447" t="str">
        <f t="shared" si="12"/>
        <v>NO</v>
      </c>
      <c r="P447" t="str">
        <f t="shared" si="13"/>
        <v>NO</v>
      </c>
    </row>
    <row r="448" spans="1:16" x14ac:dyDescent="0.3">
      <c r="A448">
        <v>447</v>
      </c>
      <c r="B448">
        <v>0</v>
      </c>
      <c r="C448">
        <v>13</v>
      </c>
      <c r="D448">
        <v>8</v>
      </c>
      <c r="E448">
        <v>0</v>
      </c>
      <c r="F448">
        <v>0</v>
      </c>
      <c r="G448">
        <v>0</v>
      </c>
      <c r="H448">
        <v>4</v>
      </c>
      <c r="I448" t="s">
        <v>0</v>
      </c>
      <c r="J448">
        <v>2</v>
      </c>
      <c r="K448" t="s">
        <v>67</v>
      </c>
      <c r="L448" t="s">
        <v>14</v>
      </c>
      <c r="M448" s="1">
        <v>44259</v>
      </c>
      <c r="N448" t="s">
        <v>102</v>
      </c>
      <c r="O448" t="str">
        <f t="shared" si="12"/>
        <v>NO</v>
      </c>
      <c r="P448" t="str">
        <f t="shared" si="13"/>
        <v>NO</v>
      </c>
    </row>
    <row r="449" spans="1:16" x14ac:dyDescent="0.3">
      <c r="A449">
        <v>448</v>
      </c>
      <c r="B449">
        <v>0</v>
      </c>
      <c r="C449">
        <v>6</v>
      </c>
      <c r="D449">
        <v>5</v>
      </c>
      <c r="E449">
        <v>0</v>
      </c>
      <c r="F449">
        <v>0</v>
      </c>
      <c r="G449">
        <v>0</v>
      </c>
      <c r="H449">
        <v>3</v>
      </c>
      <c r="I449" t="s">
        <v>0</v>
      </c>
      <c r="J449">
        <v>1</v>
      </c>
      <c r="K449" t="s">
        <v>67</v>
      </c>
      <c r="L449" t="s">
        <v>14</v>
      </c>
      <c r="M449" s="1">
        <v>44267</v>
      </c>
      <c r="N449" t="s">
        <v>104</v>
      </c>
      <c r="O449" t="str">
        <f t="shared" si="12"/>
        <v>NO</v>
      </c>
      <c r="P449" t="str">
        <f t="shared" si="13"/>
        <v>NO</v>
      </c>
    </row>
    <row r="450" spans="1:16" x14ac:dyDescent="0.3">
      <c r="A450">
        <v>449</v>
      </c>
      <c r="B450">
        <v>73</v>
      </c>
      <c r="C450">
        <v>85</v>
      </c>
      <c r="D450">
        <v>49</v>
      </c>
      <c r="E450">
        <v>5</v>
      </c>
      <c r="F450">
        <v>3</v>
      </c>
      <c r="G450">
        <v>148.97</v>
      </c>
      <c r="H450">
        <v>3</v>
      </c>
      <c r="I450" t="s">
        <v>66</v>
      </c>
      <c r="J450">
        <v>2</v>
      </c>
      <c r="K450" t="s">
        <v>67</v>
      </c>
      <c r="L450" t="s">
        <v>14</v>
      </c>
      <c r="M450" s="1">
        <v>44269</v>
      </c>
      <c r="N450" t="s">
        <v>104</v>
      </c>
      <c r="O450" t="str">
        <f t="shared" si="12"/>
        <v>NO</v>
      </c>
      <c r="P450" t="str">
        <f t="shared" si="13"/>
        <v>YES</v>
      </c>
    </row>
    <row r="451" spans="1:16" x14ac:dyDescent="0.3">
      <c r="A451">
        <v>450</v>
      </c>
      <c r="B451">
        <v>77</v>
      </c>
      <c r="C451">
        <v>80</v>
      </c>
      <c r="D451">
        <v>46</v>
      </c>
      <c r="E451">
        <v>8</v>
      </c>
      <c r="F451">
        <v>4</v>
      </c>
      <c r="G451">
        <v>167.39</v>
      </c>
      <c r="H451">
        <v>4</v>
      </c>
      <c r="I451" t="s">
        <v>66</v>
      </c>
      <c r="J451">
        <v>1</v>
      </c>
      <c r="K451" t="s">
        <v>67</v>
      </c>
      <c r="L451" t="s">
        <v>14</v>
      </c>
      <c r="M451" s="1">
        <v>44271</v>
      </c>
      <c r="N451" t="s">
        <v>104</v>
      </c>
      <c r="O451" t="str">
        <f t="shared" ref="O451:O514" si="14">IF(B451&gt;100,"YES","NO")</f>
        <v>NO</v>
      </c>
      <c r="P451" t="str">
        <f t="shared" ref="P451:P514" si="15">IF(AND(B451&gt;=50,B451&lt;100),"YES","NO")</f>
        <v>YES</v>
      </c>
    </row>
    <row r="452" spans="1:16" x14ac:dyDescent="0.3">
      <c r="A452">
        <v>451</v>
      </c>
      <c r="B452">
        <v>1</v>
      </c>
      <c r="C452">
        <v>3</v>
      </c>
      <c r="D452">
        <v>5</v>
      </c>
      <c r="E452">
        <v>0</v>
      </c>
      <c r="F452">
        <v>0</v>
      </c>
      <c r="G452">
        <v>20</v>
      </c>
      <c r="H452">
        <v>4</v>
      </c>
      <c r="I452" t="s">
        <v>37</v>
      </c>
      <c r="J452">
        <v>1</v>
      </c>
      <c r="K452" t="s">
        <v>67</v>
      </c>
      <c r="L452" t="s">
        <v>14</v>
      </c>
      <c r="M452" s="1">
        <v>44273</v>
      </c>
      <c r="N452" t="s">
        <v>104</v>
      </c>
      <c r="O452" t="str">
        <f t="shared" si="14"/>
        <v>NO</v>
      </c>
      <c r="P452" t="str">
        <f t="shared" si="15"/>
        <v>NO</v>
      </c>
    </row>
    <row r="453" spans="1:16" x14ac:dyDescent="0.3">
      <c r="A453">
        <v>452</v>
      </c>
      <c r="B453">
        <v>80</v>
      </c>
      <c r="C453">
        <v>103</v>
      </c>
      <c r="D453">
        <v>52</v>
      </c>
      <c r="E453">
        <v>7</v>
      </c>
      <c r="F453">
        <v>2</v>
      </c>
      <c r="G453">
        <v>153.84</v>
      </c>
      <c r="H453">
        <v>2</v>
      </c>
      <c r="I453" t="s">
        <v>66</v>
      </c>
      <c r="J453">
        <v>1</v>
      </c>
      <c r="K453" t="s">
        <v>67</v>
      </c>
      <c r="L453" t="s">
        <v>14</v>
      </c>
      <c r="M453" s="1">
        <v>44275</v>
      </c>
      <c r="N453" t="s">
        <v>104</v>
      </c>
      <c r="O453" t="str">
        <f t="shared" si="14"/>
        <v>NO</v>
      </c>
      <c r="P453" t="str">
        <f t="shared" si="15"/>
        <v>YES</v>
      </c>
    </row>
    <row r="454" spans="1:16" x14ac:dyDescent="0.3">
      <c r="A454">
        <v>453</v>
      </c>
      <c r="B454">
        <v>56</v>
      </c>
      <c r="C454">
        <v>65</v>
      </c>
      <c r="D454">
        <v>60</v>
      </c>
      <c r="E454">
        <v>6</v>
      </c>
      <c r="F454">
        <v>0</v>
      </c>
      <c r="G454">
        <v>93.33</v>
      </c>
      <c r="H454">
        <v>3</v>
      </c>
      <c r="I454" t="s">
        <v>0</v>
      </c>
      <c r="J454">
        <v>1</v>
      </c>
      <c r="K454" t="s">
        <v>67</v>
      </c>
      <c r="L454" t="s">
        <v>29</v>
      </c>
      <c r="M454" s="1">
        <v>44278</v>
      </c>
      <c r="N454" t="s">
        <v>103</v>
      </c>
      <c r="O454" t="str">
        <f t="shared" si="14"/>
        <v>NO</v>
      </c>
      <c r="P454" t="str">
        <f t="shared" si="15"/>
        <v>YES</v>
      </c>
    </row>
    <row r="455" spans="1:16" x14ac:dyDescent="0.3">
      <c r="A455">
        <v>454</v>
      </c>
      <c r="B455">
        <v>66</v>
      </c>
      <c r="C455">
        <v>110</v>
      </c>
      <c r="D455">
        <v>79</v>
      </c>
      <c r="E455">
        <v>3</v>
      </c>
      <c r="F455">
        <v>1</v>
      </c>
      <c r="G455">
        <v>83.54</v>
      </c>
      <c r="H455">
        <v>3</v>
      </c>
      <c r="I455" t="s">
        <v>0</v>
      </c>
      <c r="J455">
        <v>1</v>
      </c>
      <c r="K455" t="s">
        <v>67</v>
      </c>
      <c r="L455" t="s">
        <v>29</v>
      </c>
      <c r="M455" s="1">
        <v>44281</v>
      </c>
      <c r="N455" t="s">
        <v>103</v>
      </c>
      <c r="O455" t="str">
        <f t="shared" si="14"/>
        <v>NO</v>
      </c>
      <c r="P455" t="str">
        <f t="shared" si="15"/>
        <v>YES</v>
      </c>
    </row>
    <row r="456" spans="1:16" x14ac:dyDescent="0.3">
      <c r="A456">
        <v>455</v>
      </c>
      <c r="B456">
        <v>44</v>
      </c>
      <c r="C456">
        <v>196</v>
      </c>
      <c r="D456">
        <v>132</v>
      </c>
      <c r="E456">
        <v>1</v>
      </c>
      <c r="F456">
        <v>0</v>
      </c>
      <c r="G456">
        <v>33.33</v>
      </c>
      <c r="H456">
        <v>4</v>
      </c>
      <c r="I456" t="s">
        <v>4</v>
      </c>
      <c r="J456">
        <v>1</v>
      </c>
      <c r="K456" t="s">
        <v>65</v>
      </c>
      <c r="L456" t="s">
        <v>16</v>
      </c>
      <c r="M456" s="1">
        <v>44365</v>
      </c>
      <c r="N456" t="s">
        <v>102</v>
      </c>
      <c r="O456" t="str">
        <f t="shared" si="14"/>
        <v>NO</v>
      </c>
      <c r="P456" t="str">
        <f t="shared" si="15"/>
        <v>NO</v>
      </c>
    </row>
    <row r="457" spans="1:16" x14ac:dyDescent="0.3">
      <c r="A457">
        <v>456</v>
      </c>
      <c r="B457">
        <v>13</v>
      </c>
      <c r="C457">
        <v>43</v>
      </c>
      <c r="D457">
        <v>29</v>
      </c>
      <c r="E457">
        <v>0</v>
      </c>
      <c r="F457">
        <v>0</v>
      </c>
      <c r="G457">
        <v>44.82</v>
      </c>
      <c r="H457">
        <v>4</v>
      </c>
      <c r="I457" t="s">
        <v>0</v>
      </c>
      <c r="J457">
        <v>3</v>
      </c>
      <c r="K457" t="s">
        <v>65</v>
      </c>
      <c r="L457" t="s">
        <v>16</v>
      </c>
      <c r="M457" s="1">
        <v>44365</v>
      </c>
      <c r="N457" t="s">
        <v>102</v>
      </c>
      <c r="O457" t="str">
        <f t="shared" si="14"/>
        <v>NO</v>
      </c>
      <c r="P457" t="str">
        <f t="shared" si="15"/>
        <v>NO</v>
      </c>
    </row>
    <row r="458" spans="1:16" x14ac:dyDescent="0.3">
      <c r="A458">
        <v>457</v>
      </c>
      <c r="B458">
        <v>0</v>
      </c>
      <c r="C458">
        <v>2</v>
      </c>
      <c r="D458">
        <v>1</v>
      </c>
      <c r="E458">
        <v>0</v>
      </c>
      <c r="F458">
        <v>0</v>
      </c>
      <c r="G458">
        <v>0</v>
      </c>
      <c r="H458">
        <v>4</v>
      </c>
      <c r="I458" t="s">
        <v>0</v>
      </c>
      <c r="J458">
        <v>2</v>
      </c>
      <c r="K458" t="s">
        <v>67</v>
      </c>
      <c r="L458" t="s">
        <v>39</v>
      </c>
      <c r="M458" s="1">
        <v>44412</v>
      </c>
      <c r="N458" t="s">
        <v>102</v>
      </c>
      <c r="O458" t="str">
        <f t="shared" si="14"/>
        <v>NO</v>
      </c>
      <c r="P458" t="str">
        <f t="shared" si="15"/>
        <v>NO</v>
      </c>
    </row>
    <row r="459" spans="1:16" x14ac:dyDescent="0.3">
      <c r="A459">
        <v>458</v>
      </c>
      <c r="B459">
        <v>20</v>
      </c>
      <c r="C459">
        <v>54</v>
      </c>
      <c r="D459">
        <v>31</v>
      </c>
      <c r="E459">
        <v>4</v>
      </c>
      <c r="F459">
        <v>0</v>
      </c>
      <c r="G459">
        <v>64.510000000000005</v>
      </c>
      <c r="H459">
        <v>4</v>
      </c>
      <c r="I459" t="s">
        <v>0</v>
      </c>
      <c r="J459">
        <v>3</v>
      </c>
      <c r="K459" t="s">
        <v>67</v>
      </c>
      <c r="L459" t="s">
        <v>72</v>
      </c>
      <c r="M459" s="1">
        <v>44420</v>
      </c>
      <c r="N459" t="s">
        <v>102</v>
      </c>
      <c r="O459" t="str">
        <f t="shared" si="14"/>
        <v>NO</v>
      </c>
      <c r="P459" t="str">
        <f t="shared" si="15"/>
        <v>NO</v>
      </c>
    </row>
    <row r="460" spans="1:16" x14ac:dyDescent="0.3">
      <c r="A460">
        <v>459</v>
      </c>
      <c r="B460">
        <v>7</v>
      </c>
      <c r="C460">
        <v>31</v>
      </c>
      <c r="D460">
        <v>17</v>
      </c>
      <c r="E460">
        <v>1</v>
      </c>
      <c r="F460">
        <v>0</v>
      </c>
      <c r="G460">
        <v>41.17</v>
      </c>
      <c r="H460">
        <v>4</v>
      </c>
      <c r="I460" t="s">
        <v>0</v>
      </c>
      <c r="J460">
        <v>1</v>
      </c>
      <c r="K460" t="s">
        <v>67</v>
      </c>
      <c r="L460" t="s">
        <v>40</v>
      </c>
      <c r="M460" s="1">
        <v>44433</v>
      </c>
      <c r="N460" t="s">
        <v>102</v>
      </c>
      <c r="O460" t="str">
        <f t="shared" si="14"/>
        <v>NO</v>
      </c>
      <c r="P460" t="str">
        <f t="shared" si="15"/>
        <v>NO</v>
      </c>
    </row>
    <row r="461" spans="1:16" x14ac:dyDescent="0.3">
      <c r="A461">
        <v>460</v>
      </c>
      <c r="B461">
        <v>55</v>
      </c>
      <c r="C461">
        <v>173</v>
      </c>
      <c r="D461">
        <v>125</v>
      </c>
      <c r="E461">
        <v>8</v>
      </c>
      <c r="F461">
        <v>0</v>
      </c>
      <c r="G461">
        <v>44</v>
      </c>
      <c r="H461">
        <v>4</v>
      </c>
      <c r="I461" t="s">
        <v>0</v>
      </c>
      <c r="J461">
        <v>3</v>
      </c>
      <c r="K461" t="s">
        <v>67</v>
      </c>
      <c r="L461" t="s">
        <v>40</v>
      </c>
      <c r="M461" s="1">
        <v>44433</v>
      </c>
      <c r="N461" t="s">
        <v>102</v>
      </c>
      <c r="O461" t="str">
        <f t="shared" si="14"/>
        <v>NO</v>
      </c>
      <c r="P461" t="str">
        <f t="shared" si="15"/>
        <v>YES</v>
      </c>
    </row>
    <row r="462" spans="1:16" x14ac:dyDescent="0.3">
      <c r="A462">
        <v>461</v>
      </c>
      <c r="B462">
        <v>50</v>
      </c>
      <c r="C462">
        <v>133</v>
      </c>
      <c r="D462">
        <v>96</v>
      </c>
      <c r="E462">
        <v>8</v>
      </c>
      <c r="F462">
        <v>0</v>
      </c>
      <c r="G462">
        <v>52.08</v>
      </c>
      <c r="H462">
        <v>4</v>
      </c>
      <c r="I462" t="s">
        <v>0</v>
      </c>
      <c r="J462">
        <v>1</v>
      </c>
      <c r="K462" t="s">
        <v>67</v>
      </c>
      <c r="L462" t="s">
        <v>17</v>
      </c>
      <c r="M462" s="1">
        <v>44441</v>
      </c>
      <c r="N462" t="s">
        <v>102</v>
      </c>
      <c r="O462" t="str">
        <f t="shared" si="14"/>
        <v>NO</v>
      </c>
      <c r="P462" t="str">
        <f t="shared" si="15"/>
        <v>YES</v>
      </c>
    </row>
    <row r="463" spans="1:16" x14ac:dyDescent="0.3">
      <c r="A463">
        <v>462</v>
      </c>
      <c r="B463">
        <v>57</v>
      </c>
      <c r="C463">
        <v>94</v>
      </c>
      <c r="D463">
        <v>49</v>
      </c>
      <c r="E463">
        <v>5</v>
      </c>
      <c r="F463">
        <v>1</v>
      </c>
      <c r="G463">
        <v>116.32</v>
      </c>
      <c r="H463">
        <v>3</v>
      </c>
      <c r="I463" t="s">
        <v>0</v>
      </c>
      <c r="J463">
        <v>1</v>
      </c>
      <c r="K463" t="s">
        <v>84</v>
      </c>
      <c r="L463" t="s">
        <v>51</v>
      </c>
      <c r="M463" s="1">
        <v>44493</v>
      </c>
      <c r="N463" t="s">
        <v>104</v>
      </c>
      <c r="O463" t="str">
        <f t="shared" si="14"/>
        <v>NO</v>
      </c>
      <c r="P463" t="str">
        <f t="shared" si="15"/>
        <v>YES</v>
      </c>
    </row>
    <row r="464" spans="1:16" x14ac:dyDescent="0.3">
      <c r="A464">
        <v>463</v>
      </c>
      <c r="B464">
        <v>9</v>
      </c>
      <c r="C464">
        <v>20</v>
      </c>
      <c r="D464">
        <v>17</v>
      </c>
      <c r="E464">
        <v>0</v>
      </c>
      <c r="F464">
        <v>0</v>
      </c>
      <c r="G464">
        <v>52.94</v>
      </c>
      <c r="H464">
        <v>4</v>
      </c>
      <c r="I464" t="s">
        <v>0</v>
      </c>
      <c r="J464">
        <v>1</v>
      </c>
      <c r="K464" t="s">
        <v>65</v>
      </c>
      <c r="L464" t="s">
        <v>51</v>
      </c>
      <c r="M464" s="1">
        <v>44500</v>
      </c>
      <c r="N464" t="s">
        <v>104</v>
      </c>
      <c r="O464" t="str">
        <f t="shared" si="14"/>
        <v>NO</v>
      </c>
      <c r="P464" t="str">
        <f t="shared" si="15"/>
        <v>NO</v>
      </c>
    </row>
    <row r="465" spans="1:16" x14ac:dyDescent="0.3">
      <c r="A465">
        <v>464</v>
      </c>
      <c r="B465">
        <v>2</v>
      </c>
      <c r="C465">
        <v>7</v>
      </c>
      <c r="D465">
        <v>2</v>
      </c>
      <c r="E465">
        <v>0</v>
      </c>
      <c r="F465">
        <v>0</v>
      </c>
      <c r="G465">
        <v>100</v>
      </c>
      <c r="H465">
        <v>3</v>
      </c>
      <c r="I465" t="s">
        <v>66</v>
      </c>
      <c r="J465">
        <v>2</v>
      </c>
      <c r="K465" t="s">
        <v>89</v>
      </c>
      <c r="L465" t="s">
        <v>51</v>
      </c>
      <c r="M465" s="1">
        <v>44505</v>
      </c>
      <c r="N465" t="s">
        <v>104</v>
      </c>
      <c r="O465" t="str">
        <f t="shared" si="14"/>
        <v>NO</v>
      </c>
      <c r="P465" t="str">
        <f t="shared" si="15"/>
        <v>NO</v>
      </c>
    </row>
    <row r="466" spans="1:16" x14ac:dyDescent="0.3">
      <c r="A466">
        <v>465</v>
      </c>
      <c r="B466">
        <v>36</v>
      </c>
      <c r="C466">
        <v>111</v>
      </c>
      <c r="D466">
        <v>84</v>
      </c>
      <c r="E466">
        <v>1</v>
      </c>
      <c r="F466">
        <v>1</v>
      </c>
      <c r="G466">
        <v>42.85</v>
      </c>
      <c r="H466">
        <v>4</v>
      </c>
      <c r="I466" t="s">
        <v>7</v>
      </c>
      <c r="J466">
        <v>3</v>
      </c>
      <c r="K466" t="s">
        <v>65</v>
      </c>
      <c r="L466" t="s">
        <v>20</v>
      </c>
      <c r="M466" s="1">
        <v>44533</v>
      </c>
      <c r="N466" t="s">
        <v>102</v>
      </c>
      <c r="O466" t="str">
        <f t="shared" si="14"/>
        <v>NO</v>
      </c>
      <c r="P466" t="str">
        <f t="shared" si="15"/>
        <v>NO</v>
      </c>
    </row>
    <row r="467" spans="1:16" x14ac:dyDescent="0.3">
      <c r="A467">
        <v>466</v>
      </c>
      <c r="B467">
        <v>35</v>
      </c>
      <c r="C467">
        <v>108</v>
      </c>
      <c r="D467">
        <v>94</v>
      </c>
      <c r="E467">
        <v>4</v>
      </c>
      <c r="F467">
        <v>0</v>
      </c>
      <c r="G467">
        <v>37.229999999999997</v>
      </c>
      <c r="H467">
        <v>4</v>
      </c>
      <c r="I467" t="s">
        <v>0</v>
      </c>
      <c r="J467">
        <v>1</v>
      </c>
      <c r="K467" t="s">
        <v>68</v>
      </c>
      <c r="L467" t="s">
        <v>2</v>
      </c>
      <c r="M467" s="1">
        <v>44556</v>
      </c>
      <c r="N467" t="s">
        <v>102</v>
      </c>
      <c r="O467" t="str">
        <f t="shared" si="14"/>
        <v>NO</v>
      </c>
      <c r="P467" t="str">
        <f t="shared" si="15"/>
        <v>NO</v>
      </c>
    </row>
    <row r="468" spans="1:16" x14ac:dyDescent="0.3">
      <c r="A468">
        <v>467</v>
      </c>
      <c r="B468">
        <v>18</v>
      </c>
      <c r="C468">
        <v>41</v>
      </c>
      <c r="D468">
        <v>32</v>
      </c>
      <c r="E468">
        <v>4</v>
      </c>
      <c r="F468">
        <v>0</v>
      </c>
      <c r="G468">
        <v>56.25</v>
      </c>
      <c r="H468">
        <v>5</v>
      </c>
      <c r="I468" t="s">
        <v>0</v>
      </c>
      <c r="J468">
        <v>3</v>
      </c>
      <c r="K468" t="s">
        <v>68</v>
      </c>
      <c r="L468" t="s">
        <v>2</v>
      </c>
      <c r="M468" s="1">
        <v>44556</v>
      </c>
      <c r="N468" t="s">
        <v>102</v>
      </c>
      <c r="O468" t="str">
        <f t="shared" si="14"/>
        <v>NO</v>
      </c>
      <c r="P468" t="str">
        <f t="shared" si="15"/>
        <v>NO</v>
      </c>
    </row>
    <row r="469" spans="1:16" x14ac:dyDescent="0.3">
      <c r="A469">
        <v>468</v>
      </c>
      <c r="B469">
        <v>79</v>
      </c>
      <c r="C469">
        <v>273</v>
      </c>
      <c r="D469">
        <v>201</v>
      </c>
      <c r="E469">
        <v>12</v>
      </c>
      <c r="F469">
        <v>1</v>
      </c>
      <c r="G469">
        <v>39.299999999999997</v>
      </c>
      <c r="H469">
        <v>4</v>
      </c>
      <c r="I469" t="s">
        <v>0</v>
      </c>
      <c r="J469">
        <v>1</v>
      </c>
      <c r="K469" t="s">
        <v>68</v>
      </c>
      <c r="L469" t="s">
        <v>80</v>
      </c>
      <c r="M469" s="1">
        <v>44572</v>
      </c>
      <c r="N469" t="s">
        <v>102</v>
      </c>
      <c r="O469" t="str">
        <f t="shared" si="14"/>
        <v>NO</v>
      </c>
      <c r="P469" t="str">
        <f t="shared" si="15"/>
        <v>YES</v>
      </c>
    </row>
    <row r="470" spans="1:16" x14ac:dyDescent="0.3">
      <c r="A470">
        <v>469</v>
      </c>
      <c r="B470">
        <v>51</v>
      </c>
      <c r="C470">
        <v>79</v>
      </c>
      <c r="D470">
        <v>63</v>
      </c>
      <c r="E470">
        <v>3</v>
      </c>
      <c r="F470">
        <v>0</v>
      </c>
      <c r="G470">
        <v>80.95</v>
      </c>
      <c r="H470">
        <v>3</v>
      </c>
      <c r="I470" t="s">
        <v>0</v>
      </c>
      <c r="J470">
        <v>2</v>
      </c>
      <c r="K470" t="s">
        <v>68</v>
      </c>
      <c r="L470" t="s">
        <v>100</v>
      </c>
      <c r="M470" s="1">
        <v>44580</v>
      </c>
      <c r="N470" t="s">
        <v>103</v>
      </c>
      <c r="O470" t="str">
        <f t="shared" si="14"/>
        <v>NO</v>
      </c>
      <c r="P470" t="str">
        <f t="shared" si="15"/>
        <v>YES</v>
      </c>
    </row>
    <row r="471" spans="1:16" x14ac:dyDescent="0.3">
      <c r="A471">
        <v>470</v>
      </c>
      <c r="B471">
        <v>0</v>
      </c>
      <c r="C471">
        <v>4</v>
      </c>
      <c r="D471">
        <v>5</v>
      </c>
      <c r="E471">
        <v>0</v>
      </c>
      <c r="F471">
        <v>0</v>
      </c>
      <c r="G471">
        <v>0</v>
      </c>
      <c r="H471">
        <v>3</v>
      </c>
      <c r="I471" t="s">
        <v>0</v>
      </c>
      <c r="J471">
        <v>1</v>
      </c>
      <c r="K471" t="s">
        <v>68</v>
      </c>
      <c r="L471" t="s">
        <v>100</v>
      </c>
      <c r="M471" s="1">
        <v>44582</v>
      </c>
      <c r="N471" t="s">
        <v>103</v>
      </c>
      <c r="O471" t="str">
        <f t="shared" si="14"/>
        <v>NO</v>
      </c>
      <c r="P471" t="str">
        <f t="shared" si="15"/>
        <v>NO</v>
      </c>
    </row>
    <row r="472" spans="1:16" x14ac:dyDescent="0.3">
      <c r="A472">
        <v>471</v>
      </c>
      <c r="B472">
        <v>65</v>
      </c>
      <c r="C472">
        <v>112</v>
      </c>
      <c r="D472">
        <v>84</v>
      </c>
      <c r="E472">
        <v>5</v>
      </c>
      <c r="F472">
        <v>0</v>
      </c>
      <c r="G472">
        <v>77.38</v>
      </c>
      <c r="H472">
        <v>3</v>
      </c>
      <c r="I472" t="s">
        <v>0</v>
      </c>
      <c r="J472">
        <v>2</v>
      </c>
      <c r="K472" t="s">
        <v>68</v>
      </c>
      <c r="L472" t="s">
        <v>80</v>
      </c>
      <c r="M472" s="1">
        <v>44584</v>
      </c>
      <c r="N472" t="s">
        <v>103</v>
      </c>
      <c r="O472" t="str">
        <f t="shared" si="14"/>
        <v>NO</v>
      </c>
      <c r="P472" t="str">
        <f t="shared" si="15"/>
        <v>YES</v>
      </c>
    </row>
    <row r="473" spans="1:16" x14ac:dyDescent="0.3">
      <c r="A473">
        <v>472</v>
      </c>
      <c r="B473">
        <v>8</v>
      </c>
      <c r="C473">
        <v>6</v>
      </c>
      <c r="D473">
        <v>4</v>
      </c>
      <c r="E473">
        <v>2</v>
      </c>
      <c r="F473">
        <v>0</v>
      </c>
      <c r="G473">
        <v>200</v>
      </c>
      <c r="H473">
        <v>3</v>
      </c>
      <c r="I473" t="s">
        <v>0</v>
      </c>
      <c r="J473">
        <v>2</v>
      </c>
      <c r="K473" t="s">
        <v>60</v>
      </c>
      <c r="L473" t="s">
        <v>14</v>
      </c>
      <c r="M473" s="1">
        <v>44598</v>
      </c>
      <c r="N473" t="s">
        <v>103</v>
      </c>
      <c r="O473" t="str">
        <f t="shared" si="14"/>
        <v>NO</v>
      </c>
      <c r="P473" t="str">
        <f t="shared" si="15"/>
        <v>NO</v>
      </c>
    </row>
    <row r="474" spans="1:16" x14ac:dyDescent="0.3">
      <c r="A474">
        <v>473</v>
      </c>
      <c r="B474">
        <v>18</v>
      </c>
      <c r="C474">
        <v>42</v>
      </c>
      <c r="D474">
        <v>30</v>
      </c>
      <c r="E474">
        <v>3</v>
      </c>
      <c r="F474">
        <v>0</v>
      </c>
      <c r="G474">
        <v>60</v>
      </c>
      <c r="H474">
        <v>3</v>
      </c>
      <c r="I474" t="s">
        <v>0</v>
      </c>
      <c r="J474">
        <v>1</v>
      </c>
      <c r="K474" t="s">
        <v>60</v>
      </c>
      <c r="L474" t="s">
        <v>14</v>
      </c>
      <c r="M474" s="1">
        <v>44601</v>
      </c>
      <c r="N474" t="s">
        <v>103</v>
      </c>
      <c r="O474" t="str">
        <f t="shared" si="14"/>
        <v>NO</v>
      </c>
      <c r="P474" t="str">
        <f t="shared" si="15"/>
        <v>NO</v>
      </c>
    </row>
    <row r="475" spans="1:16" x14ac:dyDescent="0.3">
      <c r="A475">
        <v>474</v>
      </c>
      <c r="B475">
        <v>0</v>
      </c>
      <c r="C475">
        <v>2</v>
      </c>
      <c r="D475">
        <v>2</v>
      </c>
      <c r="E475">
        <v>0</v>
      </c>
      <c r="F475">
        <v>0</v>
      </c>
      <c r="G475">
        <v>0</v>
      </c>
      <c r="H475">
        <v>3</v>
      </c>
      <c r="I475" t="s">
        <v>0</v>
      </c>
      <c r="J475">
        <v>1</v>
      </c>
      <c r="K475" t="s">
        <v>60</v>
      </c>
      <c r="L475" t="s">
        <v>14</v>
      </c>
      <c r="M475" s="1">
        <v>44603</v>
      </c>
      <c r="N475" t="s">
        <v>103</v>
      </c>
      <c r="O475" t="str">
        <f t="shared" si="14"/>
        <v>NO</v>
      </c>
      <c r="P475" t="str">
        <f t="shared" si="15"/>
        <v>NO</v>
      </c>
    </row>
    <row r="476" spans="1:16" x14ac:dyDescent="0.3">
      <c r="A476">
        <v>475</v>
      </c>
      <c r="B476">
        <v>17</v>
      </c>
      <c r="C476">
        <v>25</v>
      </c>
      <c r="D476">
        <v>13</v>
      </c>
      <c r="E476">
        <v>1</v>
      </c>
      <c r="F476">
        <v>0</v>
      </c>
      <c r="G476">
        <v>130.76</v>
      </c>
      <c r="H476">
        <v>3</v>
      </c>
      <c r="I476" t="s">
        <v>0</v>
      </c>
      <c r="J476">
        <v>2</v>
      </c>
      <c r="K476" t="s">
        <v>60</v>
      </c>
      <c r="L476" t="s">
        <v>21</v>
      </c>
      <c r="M476" s="1">
        <v>44608</v>
      </c>
      <c r="N476" t="s">
        <v>104</v>
      </c>
      <c r="O476" t="str">
        <f t="shared" si="14"/>
        <v>NO</v>
      </c>
      <c r="P476" t="str">
        <f t="shared" si="15"/>
        <v>NO</v>
      </c>
    </row>
    <row r="477" spans="1:16" x14ac:dyDescent="0.3">
      <c r="A477">
        <v>476</v>
      </c>
      <c r="B477">
        <v>52</v>
      </c>
      <c r="C477">
        <v>57</v>
      </c>
      <c r="D477">
        <v>41</v>
      </c>
      <c r="E477">
        <v>7</v>
      </c>
      <c r="F477">
        <v>1</v>
      </c>
      <c r="G477">
        <v>126.82</v>
      </c>
      <c r="H477">
        <v>3</v>
      </c>
      <c r="I477" t="s">
        <v>7</v>
      </c>
      <c r="J477">
        <v>1</v>
      </c>
      <c r="K477" t="s">
        <v>60</v>
      </c>
      <c r="L477" t="s">
        <v>21</v>
      </c>
      <c r="M477" s="1">
        <v>44610</v>
      </c>
      <c r="N477" t="s">
        <v>104</v>
      </c>
      <c r="O477" t="str">
        <f t="shared" si="14"/>
        <v>NO</v>
      </c>
      <c r="P477" t="str">
        <f t="shared" si="15"/>
        <v>YES</v>
      </c>
    </row>
    <row r="478" spans="1:16" x14ac:dyDescent="0.3">
      <c r="A478">
        <v>477</v>
      </c>
      <c r="B478">
        <v>45</v>
      </c>
      <c r="C478">
        <v>106</v>
      </c>
      <c r="D478">
        <v>76</v>
      </c>
      <c r="E478">
        <v>5</v>
      </c>
      <c r="F478">
        <v>0</v>
      </c>
      <c r="G478">
        <v>59.21</v>
      </c>
      <c r="H478">
        <v>4</v>
      </c>
      <c r="I478" t="s">
        <v>7</v>
      </c>
      <c r="J478">
        <v>1</v>
      </c>
      <c r="K478" t="s">
        <v>74</v>
      </c>
      <c r="L478" t="s">
        <v>5</v>
      </c>
      <c r="M478" s="1">
        <v>44624</v>
      </c>
      <c r="N478" t="s">
        <v>102</v>
      </c>
      <c r="O478" t="str">
        <f t="shared" si="14"/>
        <v>NO</v>
      </c>
      <c r="P478" t="str">
        <f t="shared" si="15"/>
        <v>NO</v>
      </c>
    </row>
    <row r="479" spans="1:16" x14ac:dyDescent="0.3">
      <c r="A479">
        <v>478</v>
      </c>
      <c r="B479">
        <v>23</v>
      </c>
      <c r="C479">
        <v>63</v>
      </c>
      <c r="D479">
        <v>48</v>
      </c>
      <c r="E479">
        <v>2</v>
      </c>
      <c r="F479">
        <v>0</v>
      </c>
      <c r="G479">
        <v>47.91</v>
      </c>
      <c r="H479">
        <v>4</v>
      </c>
      <c r="I479" t="s">
        <v>4</v>
      </c>
      <c r="J479">
        <v>1</v>
      </c>
      <c r="K479" t="s">
        <v>74</v>
      </c>
      <c r="L479" t="s">
        <v>12</v>
      </c>
      <c r="M479" s="1">
        <v>44632</v>
      </c>
      <c r="N479" t="s">
        <v>102</v>
      </c>
      <c r="O479" t="str">
        <f t="shared" si="14"/>
        <v>NO</v>
      </c>
      <c r="P479" t="str">
        <f t="shared" si="15"/>
        <v>NO</v>
      </c>
    </row>
    <row r="480" spans="1:16" x14ac:dyDescent="0.3">
      <c r="A480">
        <v>479</v>
      </c>
      <c r="B480">
        <v>13</v>
      </c>
      <c r="C480">
        <v>27</v>
      </c>
      <c r="D480">
        <v>16</v>
      </c>
      <c r="E480">
        <v>1</v>
      </c>
      <c r="F480">
        <v>0</v>
      </c>
      <c r="G480">
        <v>81.25</v>
      </c>
      <c r="H480">
        <v>4</v>
      </c>
      <c r="I480" t="s">
        <v>4</v>
      </c>
      <c r="J480">
        <v>3</v>
      </c>
      <c r="K480" t="s">
        <v>74</v>
      </c>
      <c r="L480" t="s">
        <v>12</v>
      </c>
      <c r="M480" s="1">
        <v>44632</v>
      </c>
      <c r="N480" t="s">
        <v>102</v>
      </c>
      <c r="O480" t="str">
        <f t="shared" si="14"/>
        <v>NO</v>
      </c>
      <c r="P480" t="str">
        <f t="shared" si="15"/>
        <v>NO</v>
      </c>
    </row>
    <row r="481" spans="1:16" x14ac:dyDescent="0.3">
      <c r="A481">
        <v>480</v>
      </c>
      <c r="B481">
        <v>11</v>
      </c>
      <c r="C481">
        <v>33</v>
      </c>
      <c r="D481">
        <v>19</v>
      </c>
      <c r="E481">
        <v>2</v>
      </c>
      <c r="F481">
        <v>0</v>
      </c>
      <c r="G481">
        <v>57.89</v>
      </c>
      <c r="H481">
        <v>4</v>
      </c>
      <c r="I481" t="s">
        <v>7</v>
      </c>
      <c r="J481">
        <v>1</v>
      </c>
      <c r="K481" t="s">
        <v>67</v>
      </c>
      <c r="L481" t="s">
        <v>35</v>
      </c>
      <c r="M481" s="1">
        <v>44743</v>
      </c>
      <c r="N481" t="s">
        <v>102</v>
      </c>
      <c r="O481" t="str">
        <f t="shared" si="14"/>
        <v>NO</v>
      </c>
      <c r="P481" t="str">
        <f t="shared" si="15"/>
        <v>NO</v>
      </c>
    </row>
    <row r="482" spans="1:16" x14ac:dyDescent="0.3">
      <c r="A482">
        <v>481</v>
      </c>
      <c r="B482">
        <v>20</v>
      </c>
      <c r="C482">
        <v>64</v>
      </c>
      <c r="D482">
        <v>40</v>
      </c>
      <c r="E482">
        <v>4</v>
      </c>
      <c r="F482">
        <v>0</v>
      </c>
      <c r="G482">
        <v>50</v>
      </c>
      <c r="H482">
        <v>4</v>
      </c>
      <c r="I482" t="s">
        <v>0</v>
      </c>
      <c r="J482">
        <v>3</v>
      </c>
      <c r="K482" t="s">
        <v>67</v>
      </c>
      <c r="L482" t="s">
        <v>35</v>
      </c>
      <c r="M482" s="1">
        <v>44743</v>
      </c>
      <c r="N482" t="s">
        <v>102</v>
      </c>
      <c r="O482" t="str">
        <f t="shared" si="14"/>
        <v>NO</v>
      </c>
      <c r="P482" t="str">
        <f t="shared" si="15"/>
        <v>NO</v>
      </c>
    </row>
    <row r="483" spans="1:16" x14ac:dyDescent="0.3">
      <c r="A483">
        <v>482</v>
      </c>
      <c r="B483">
        <v>1</v>
      </c>
      <c r="C483">
        <v>8</v>
      </c>
      <c r="D483">
        <v>3</v>
      </c>
      <c r="E483">
        <v>0</v>
      </c>
      <c r="F483">
        <v>0</v>
      </c>
      <c r="G483">
        <v>33.33</v>
      </c>
      <c r="H483">
        <v>3</v>
      </c>
      <c r="I483" t="s">
        <v>0</v>
      </c>
      <c r="J483">
        <v>1</v>
      </c>
      <c r="K483" t="s">
        <v>67</v>
      </c>
      <c r="L483" t="s">
        <v>35</v>
      </c>
      <c r="M483" s="1">
        <v>44751</v>
      </c>
      <c r="N483" t="s">
        <v>104</v>
      </c>
      <c r="O483" t="str">
        <f t="shared" si="14"/>
        <v>NO</v>
      </c>
      <c r="P483" t="str">
        <f t="shared" si="15"/>
        <v>NO</v>
      </c>
    </row>
    <row r="484" spans="1:16" x14ac:dyDescent="0.3">
      <c r="A484">
        <v>483</v>
      </c>
      <c r="B484">
        <v>11</v>
      </c>
      <c r="C484">
        <v>8</v>
      </c>
      <c r="D484">
        <v>6</v>
      </c>
      <c r="E484">
        <v>1</v>
      </c>
      <c r="F484">
        <v>1</v>
      </c>
      <c r="G484">
        <v>183.33</v>
      </c>
      <c r="H484">
        <v>3</v>
      </c>
      <c r="I484" t="s">
        <v>0</v>
      </c>
      <c r="J484">
        <v>2</v>
      </c>
      <c r="K484" t="s">
        <v>67</v>
      </c>
      <c r="L484" t="s">
        <v>39</v>
      </c>
      <c r="M484" s="1">
        <v>44752</v>
      </c>
      <c r="N484" t="s">
        <v>104</v>
      </c>
      <c r="O484" t="str">
        <f t="shared" si="14"/>
        <v>NO</v>
      </c>
      <c r="P484" t="str">
        <f t="shared" si="15"/>
        <v>NO</v>
      </c>
    </row>
    <row r="485" spans="1:16" x14ac:dyDescent="0.3">
      <c r="A485">
        <v>484</v>
      </c>
      <c r="B485">
        <v>16</v>
      </c>
      <c r="C485">
        <v>39</v>
      </c>
      <c r="D485">
        <v>25</v>
      </c>
      <c r="E485">
        <v>3</v>
      </c>
      <c r="F485">
        <v>0</v>
      </c>
      <c r="G485">
        <v>64</v>
      </c>
      <c r="H485">
        <v>3</v>
      </c>
      <c r="I485" t="s">
        <v>0</v>
      </c>
      <c r="J485">
        <v>2</v>
      </c>
      <c r="K485" t="s">
        <v>67</v>
      </c>
      <c r="L485" t="s">
        <v>72</v>
      </c>
      <c r="M485" s="1">
        <v>44756</v>
      </c>
      <c r="N485" t="s">
        <v>103</v>
      </c>
      <c r="O485" t="str">
        <f t="shared" si="14"/>
        <v>NO</v>
      </c>
      <c r="P485" t="str">
        <f t="shared" si="15"/>
        <v>NO</v>
      </c>
    </row>
    <row r="486" spans="1:16" x14ac:dyDescent="0.3">
      <c r="A486">
        <v>485</v>
      </c>
      <c r="B486">
        <v>17</v>
      </c>
      <c r="C486">
        <v>27</v>
      </c>
      <c r="D486">
        <v>22</v>
      </c>
      <c r="E486">
        <v>3</v>
      </c>
      <c r="F486">
        <v>0</v>
      </c>
      <c r="G486">
        <v>77.27</v>
      </c>
      <c r="H486">
        <v>3</v>
      </c>
      <c r="I486" t="s">
        <v>0</v>
      </c>
      <c r="J486">
        <v>2</v>
      </c>
      <c r="K486" t="s">
        <v>67</v>
      </c>
      <c r="L486" t="s">
        <v>15</v>
      </c>
      <c r="M486" s="1">
        <v>44759</v>
      </c>
      <c r="N486" t="s">
        <v>103</v>
      </c>
      <c r="O486" t="str">
        <f t="shared" si="14"/>
        <v>NO</v>
      </c>
      <c r="P486" t="str">
        <f t="shared" si="15"/>
        <v>NO</v>
      </c>
    </row>
    <row r="487" spans="1:16" x14ac:dyDescent="0.3">
      <c r="A487">
        <v>486</v>
      </c>
      <c r="B487">
        <v>35</v>
      </c>
      <c r="C487">
        <v>47</v>
      </c>
      <c r="D487">
        <v>34</v>
      </c>
      <c r="E487">
        <v>3</v>
      </c>
      <c r="F487">
        <v>1</v>
      </c>
      <c r="G487">
        <v>102.94</v>
      </c>
      <c r="H487">
        <v>3</v>
      </c>
      <c r="I487" t="s">
        <v>0</v>
      </c>
      <c r="J487">
        <v>2</v>
      </c>
      <c r="K487" t="s">
        <v>84</v>
      </c>
      <c r="L487" t="s">
        <v>51</v>
      </c>
      <c r="M487" s="1">
        <v>44801</v>
      </c>
      <c r="N487" t="s">
        <v>104</v>
      </c>
      <c r="O487" t="str">
        <f t="shared" si="14"/>
        <v>NO</v>
      </c>
      <c r="P487" t="str">
        <f t="shared" si="15"/>
        <v>NO</v>
      </c>
    </row>
    <row r="488" spans="1:16" x14ac:dyDescent="0.3">
      <c r="A488">
        <v>487</v>
      </c>
      <c r="B488">
        <v>59</v>
      </c>
      <c r="C488">
        <v>74</v>
      </c>
      <c r="D488">
        <v>44</v>
      </c>
      <c r="E488">
        <v>1</v>
      </c>
      <c r="F488">
        <v>3</v>
      </c>
      <c r="G488">
        <v>134.09</v>
      </c>
      <c r="H488">
        <v>3</v>
      </c>
      <c r="I488" t="s">
        <v>66</v>
      </c>
      <c r="J488">
        <v>1</v>
      </c>
      <c r="K488" t="s">
        <v>90</v>
      </c>
      <c r="L488" t="s">
        <v>51</v>
      </c>
      <c r="M488" s="1">
        <v>44804</v>
      </c>
      <c r="N488" t="s">
        <v>104</v>
      </c>
      <c r="O488" t="str">
        <f t="shared" si="14"/>
        <v>NO</v>
      </c>
      <c r="P488" t="str">
        <f t="shared" si="15"/>
        <v>YES</v>
      </c>
    </row>
    <row r="489" spans="1:16" x14ac:dyDescent="0.3">
      <c r="A489">
        <v>488</v>
      </c>
      <c r="B489">
        <v>60</v>
      </c>
      <c r="C489">
        <v>77</v>
      </c>
      <c r="D489">
        <v>44</v>
      </c>
      <c r="E489">
        <v>4</v>
      </c>
      <c r="F489">
        <v>1</v>
      </c>
      <c r="G489">
        <v>136.36000000000001</v>
      </c>
      <c r="H489">
        <v>3</v>
      </c>
      <c r="I489" t="s">
        <v>64</v>
      </c>
      <c r="J489">
        <v>1</v>
      </c>
      <c r="K489" t="s">
        <v>84</v>
      </c>
      <c r="L489" t="s">
        <v>51</v>
      </c>
      <c r="M489" s="1">
        <v>44808</v>
      </c>
      <c r="N489" t="s">
        <v>104</v>
      </c>
      <c r="O489" t="str">
        <f t="shared" si="14"/>
        <v>NO</v>
      </c>
      <c r="P489" t="str">
        <f t="shared" si="15"/>
        <v>YES</v>
      </c>
    </row>
    <row r="490" spans="1:16" x14ac:dyDescent="0.3">
      <c r="A490">
        <v>489</v>
      </c>
      <c r="B490">
        <v>0</v>
      </c>
      <c r="C490">
        <v>6</v>
      </c>
      <c r="D490">
        <v>4</v>
      </c>
      <c r="E490">
        <v>0</v>
      </c>
      <c r="F490">
        <v>0</v>
      </c>
      <c r="G490">
        <v>0</v>
      </c>
      <c r="H490">
        <v>3</v>
      </c>
      <c r="I490" t="s">
        <v>7</v>
      </c>
      <c r="J490">
        <v>1</v>
      </c>
      <c r="K490" t="s">
        <v>74</v>
      </c>
      <c r="L490" t="s">
        <v>51</v>
      </c>
      <c r="M490" s="1">
        <v>44810</v>
      </c>
      <c r="N490" t="s">
        <v>104</v>
      </c>
      <c r="O490" t="str">
        <f t="shared" si="14"/>
        <v>NO</v>
      </c>
      <c r="P490" t="str">
        <f t="shared" si="15"/>
        <v>NO</v>
      </c>
    </row>
    <row r="491" spans="1:16" x14ac:dyDescent="0.3">
      <c r="A491">
        <v>490</v>
      </c>
      <c r="B491">
        <v>122</v>
      </c>
      <c r="C491">
        <v>90</v>
      </c>
      <c r="D491">
        <v>61</v>
      </c>
      <c r="E491">
        <v>12</v>
      </c>
      <c r="F491">
        <v>6</v>
      </c>
      <c r="G491">
        <v>200</v>
      </c>
      <c r="H491">
        <v>2</v>
      </c>
      <c r="I491" t="s">
        <v>66</v>
      </c>
      <c r="J491">
        <v>1</v>
      </c>
      <c r="K491" t="s">
        <v>83</v>
      </c>
      <c r="L491" t="s">
        <v>51</v>
      </c>
      <c r="M491" s="1">
        <v>44812</v>
      </c>
      <c r="N491" t="s">
        <v>104</v>
      </c>
      <c r="O491" t="str">
        <f t="shared" si="14"/>
        <v>YES</v>
      </c>
      <c r="P491" t="str">
        <f t="shared" si="15"/>
        <v>NO</v>
      </c>
    </row>
    <row r="492" spans="1:16" x14ac:dyDescent="0.3">
      <c r="A492">
        <v>491</v>
      </c>
      <c r="B492">
        <v>2</v>
      </c>
      <c r="C492">
        <v>12</v>
      </c>
      <c r="D492">
        <v>7</v>
      </c>
      <c r="E492">
        <v>0</v>
      </c>
      <c r="F492">
        <v>0</v>
      </c>
      <c r="G492">
        <v>28.57</v>
      </c>
      <c r="H492">
        <v>3</v>
      </c>
      <c r="I492" t="s">
        <v>0</v>
      </c>
      <c r="J492">
        <v>1</v>
      </c>
      <c r="K492" t="s">
        <v>63</v>
      </c>
      <c r="L492" t="s">
        <v>5</v>
      </c>
      <c r="M492" s="1">
        <v>44824</v>
      </c>
      <c r="N492" t="s">
        <v>104</v>
      </c>
      <c r="O492" t="str">
        <f t="shared" si="14"/>
        <v>NO</v>
      </c>
      <c r="P492" t="str">
        <f t="shared" si="15"/>
        <v>NO</v>
      </c>
    </row>
    <row r="493" spans="1:16" x14ac:dyDescent="0.3">
      <c r="A493">
        <v>492</v>
      </c>
      <c r="B493">
        <v>11</v>
      </c>
      <c r="C493">
        <v>20</v>
      </c>
      <c r="D493">
        <v>6</v>
      </c>
      <c r="E493">
        <v>2</v>
      </c>
      <c r="F493">
        <v>0</v>
      </c>
      <c r="G493">
        <v>183.33</v>
      </c>
      <c r="H493">
        <v>3</v>
      </c>
      <c r="I493" t="s">
        <v>7</v>
      </c>
      <c r="J493">
        <v>2</v>
      </c>
      <c r="K493" t="s">
        <v>63</v>
      </c>
      <c r="L493" t="s">
        <v>28</v>
      </c>
      <c r="M493" s="1">
        <v>44827</v>
      </c>
      <c r="N493" t="s">
        <v>104</v>
      </c>
      <c r="O493" t="str">
        <f t="shared" si="14"/>
        <v>NO</v>
      </c>
      <c r="P493" t="str">
        <f t="shared" si="15"/>
        <v>NO</v>
      </c>
    </row>
    <row r="494" spans="1:16" x14ac:dyDescent="0.3">
      <c r="A494">
        <v>493</v>
      </c>
      <c r="B494">
        <v>63</v>
      </c>
      <c r="C494">
        <v>89</v>
      </c>
      <c r="D494">
        <v>48</v>
      </c>
      <c r="E494">
        <v>3</v>
      </c>
      <c r="F494">
        <v>4</v>
      </c>
      <c r="G494">
        <v>131.25</v>
      </c>
      <c r="H494">
        <v>3</v>
      </c>
      <c r="I494" t="s">
        <v>0</v>
      </c>
      <c r="J494">
        <v>2</v>
      </c>
      <c r="K494" t="s">
        <v>63</v>
      </c>
      <c r="L494" t="s">
        <v>19</v>
      </c>
      <c r="M494" s="1">
        <v>44829</v>
      </c>
      <c r="N494" t="s">
        <v>104</v>
      </c>
      <c r="O494" t="str">
        <f t="shared" si="14"/>
        <v>NO</v>
      </c>
      <c r="P494" t="str">
        <f t="shared" si="15"/>
        <v>YES</v>
      </c>
    </row>
    <row r="495" spans="1:16" x14ac:dyDescent="0.3">
      <c r="A495">
        <v>494</v>
      </c>
      <c r="B495">
        <v>3</v>
      </c>
      <c r="C495">
        <v>19</v>
      </c>
      <c r="D495">
        <v>9</v>
      </c>
      <c r="E495">
        <v>0</v>
      </c>
      <c r="F495">
        <v>0</v>
      </c>
      <c r="G495">
        <v>33.33</v>
      </c>
      <c r="H495">
        <v>3</v>
      </c>
      <c r="I495" t="s">
        <v>0</v>
      </c>
      <c r="J495">
        <v>2</v>
      </c>
      <c r="K495" t="s">
        <v>68</v>
      </c>
      <c r="L495" t="s">
        <v>87</v>
      </c>
      <c r="M495" s="1">
        <v>44832</v>
      </c>
      <c r="N495" t="s">
        <v>104</v>
      </c>
      <c r="O495" t="str">
        <f t="shared" si="14"/>
        <v>NO</v>
      </c>
      <c r="P495" t="str">
        <f t="shared" si="15"/>
        <v>NO</v>
      </c>
    </row>
    <row r="496" spans="1:16" x14ac:dyDescent="0.3">
      <c r="A496">
        <v>495</v>
      </c>
      <c r="B496">
        <v>49</v>
      </c>
      <c r="C496">
        <v>56</v>
      </c>
      <c r="D496">
        <v>28</v>
      </c>
      <c r="E496">
        <v>7</v>
      </c>
      <c r="F496">
        <v>1</v>
      </c>
      <c r="G496">
        <v>175</v>
      </c>
      <c r="H496">
        <v>3</v>
      </c>
      <c r="I496" t="s">
        <v>66</v>
      </c>
      <c r="J496">
        <v>1</v>
      </c>
      <c r="K496" t="s">
        <v>68</v>
      </c>
      <c r="L496" t="s">
        <v>47</v>
      </c>
      <c r="M496" s="1">
        <v>44836</v>
      </c>
      <c r="N496" t="s">
        <v>104</v>
      </c>
      <c r="O496" t="str">
        <f t="shared" si="14"/>
        <v>NO</v>
      </c>
      <c r="P496" t="str">
        <f t="shared" si="15"/>
        <v>NO</v>
      </c>
    </row>
    <row r="497" spans="1:16" x14ac:dyDescent="0.3">
      <c r="A497">
        <v>496</v>
      </c>
      <c r="B497">
        <v>82</v>
      </c>
      <c r="C497">
        <v>98</v>
      </c>
      <c r="D497">
        <v>53</v>
      </c>
      <c r="E497">
        <v>6</v>
      </c>
      <c r="F497">
        <v>4</v>
      </c>
      <c r="G497">
        <v>154.71</v>
      </c>
      <c r="H497">
        <v>3</v>
      </c>
      <c r="I497" t="s">
        <v>66</v>
      </c>
      <c r="J497">
        <v>2</v>
      </c>
      <c r="K497" t="s">
        <v>84</v>
      </c>
      <c r="L497" t="s">
        <v>22</v>
      </c>
      <c r="M497" s="1">
        <v>44857</v>
      </c>
      <c r="N497" t="s">
        <v>104</v>
      </c>
      <c r="O497" t="str">
        <f t="shared" si="14"/>
        <v>NO</v>
      </c>
      <c r="P497" t="str">
        <f t="shared" si="15"/>
        <v>YES</v>
      </c>
    </row>
    <row r="498" spans="1:16" x14ac:dyDescent="0.3">
      <c r="A498">
        <v>497</v>
      </c>
      <c r="B498">
        <v>62</v>
      </c>
      <c r="C498">
        <v>79</v>
      </c>
      <c r="D498">
        <v>44</v>
      </c>
      <c r="E498">
        <v>3</v>
      </c>
      <c r="F498">
        <v>2</v>
      </c>
      <c r="G498">
        <v>140.9</v>
      </c>
      <c r="H498">
        <v>3</v>
      </c>
      <c r="I498" t="s">
        <v>66</v>
      </c>
      <c r="J498">
        <v>1</v>
      </c>
      <c r="K498" t="s">
        <v>91</v>
      </c>
      <c r="L498" t="s">
        <v>23</v>
      </c>
      <c r="M498" s="1">
        <v>44861</v>
      </c>
      <c r="N498" t="s">
        <v>104</v>
      </c>
      <c r="O498" t="str">
        <f t="shared" si="14"/>
        <v>NO</v>
      </c>
      <c r="P498" t="str">
        <f t="shared" si="15"/>
        <v>YES</v>
      </c>
    </row>
    <row r="499" spans="1:16" x14ac:dyDescent="0.3">
      <c r="A499">
        <v>498</v>
      </c>
      <c r="B499">
        <v>12</v>
      </c>
      <c r="C499">
        <v>13</v>
      </c>
      <c r="D499">
        <v>11</v>
      </c>
      <c r="E499">
        <v>2</v>
      </c>
      <c r="F499">
        <v>0</v>
      </c>
      <c r="G499">
        <v>109.09</v>
      </c>
      <c r="H499">
        <v>3</v>
      </c>
      <c r="I499" t="s">
        <v>0</v>
      </c>
      <c r="J499">
        <v>1</v>
      </c>
      <c r="K499" t="s">
        <v>68</v>
      </c>
      <c r="L499" t="s">
        <v>50</v>
      </c>
      <c r="M499" s="1">
        <v>44864</v>
      </c>
      <c r="N499" t="s">
        <v>104</v>
      </c>
      <c r="O499" t="str">
        <f t="shared" si="14"/>
        <v>NO</v>
      </c>
      <c r="P499" t="str">
        <f t="shared" si="15"/>
        <v>NO</v>
      </c>
    </row>
    <row r="500" spans="1:16" x14ac:dyDescent="0.3">
      <c r="A500">
        <v>499</v>
      </c>
      <c r="B500">
        <v>64</v>
      </c>
      <c r="C500">
        <v>84</v>
      </c>
      <c r="D500">
        <v>44</v>
      </c>
      <c r="E500">
        <v>8</v>
      </c>
      <c r="F500">
        <v>1</v>
      </c>
      <c r="G500">
        <v>145.44999999999999</v>
      </c>
      <c r="H500">
        <v>3</v>
      </c>
      <c r="I500" t="s">
        <v>66</v>
      </c>
      <c r="J500">
        <v>1</v>
      </c>
      <c r="K500" t="s">
        <v>73</v>
      </c>
      <c r="L500" t="s">
        <v>25</v>
      </c>
      <c r="M500" s="1">
        <v>44867</v>
      </c>
      <c r="N500" t="s">
        <v>104</v>
      </c>
      <c r="O500" t="str">
        <f t="shared" si="14"/>
        <v>NO</v>
      </c>
      <c r="P500" t="str">
        <f t="shared" si="15"/>
        <v>YES</v>
      </c>
    </row>
    <row r="501" spans="1:16" x14ac:dyDescent="0.3">
      <c r="A501">
        <v>500</v>
      </c>
      <c r="B501">
        <v>26</v>
      </c>
      <c r="C501">
        <v>36</v>
      </c>
      <c r="D501">
        <v>25</v>
      </c>
      <c r="E501">
        <v>2</v>
      </c>
      <c r="F501">
        <v>0</v>
      </c>
      <c r="G501">
        <v>104</v>
      </c>
      <c r="H501">
        <v>3</v>
      </c>
      <c r="I501" t="s">
        <v>0</v>
      </c>
      <c r="J501">
        <v>1</v>
      </c>
      <c r="K501" t="s">
        <v>82</v>
      </c>
      <c r="L501" t="s">
        <v>22</v>
      </c>
      <c r="M501" s="1">
        <v>44871</v>
      </c>
      <c r="N501" t="s">
        <v>104</v>
      </c>
      <c r="O501" t="str">
        <f t="shared" si="14"/>
        <v>NO</v>
      </c>
      <c r="P501" t="str">
        <f t="shared" si="15"/>
        <v>NO</v>
      </c>
    </row>
    <row r="502" spans="1:16" x14ac:dyDescent="0.3">
      <c r="A502">
        <v>501</v>
      </c>
      <c r="B502">
        <v>50</v>
      </c>
      <c r="C502">
        <v>75</v>
      </c>
      <c r="D502">
        <v>40</v>
      </c>
      <c r="E502">
        <v>4</v>
      </c>
      <c r="F502">
        <v>1</v>
      </c>
      <c r="G502">
        <v>125</v>
      </c>
      <c r="H502">
        <v>3</v>
      </c>
      <c r="I502" t="s">
        <v>0</v>
      </c>
      <c r="J502">
        <v>1</v>
      </c>
      <c r="K502" t="s">
        <v>67</v>
      </c>
      <c r="L502" t="s">
        <v>25</v>
      </c>
      <c r="M502" s="1">
        <v>44875</v>
      </c>
      <c r="N502" t="s">
        <v>104</v>
      </c>
      <c r="O502" t="str">
        <f t="shared" si="14"/>
        <v>NO</v>
      </c>
      <c r="P502" t="str">
        <f t="shared" si="15"/>
        <v>YES</v>
      </c>
    </row>
    <row r="503" spans="1:16" x14ac:dyDescent="0.3">
      <c r="A503">
        <v>502</v>
      </c>
      <c r="B503">
        <v>9</v>
      </c>
      <c r="C503">
        <v>22</v>
      </c>
      <c r="D503">
        <v>15</v>
      </c>
      <c r="E503">
        <v>1</v>
      </c>
      <c r="F503">
        <v>0</v>
      </c>
      <c r="G503">
        <v>60</v>
      </c>
      <c r="H503">
        <v>3</v>
      </c>
      <c r="I503" t="s">
        <v>0</v>
      </c>
      <c r="J503">
        <v>1</v>
      </c>
      <c r="K503" t="s">
        <v>73</v>
      </c>
      <c r="L503" t="s">
        <v>6</v>
      </c>
      <c r="M503" s="1">
        <v>44899</v>
      </c>
      <c r="N503" t="s">
        <v>103</v>
      </c>
      <c r="O503" t="str">
        <f t="shared" si="14"/>
        <v>NO</v>
      </c>
      <c r="P503" t="str">
        <f t="shared" si="15"/>
        <v>NO</v>
      </c>
    </row>
    <row r="504" spans="1:16" x14ac:dyDescent="0.3">
      <c r="A504">
        <v>503</v>
      </c>
      <c r="B504">
        <v>5</v>
      </c>
      <c r="C504">
        <v>9</v>
      </c>
      <c r="D504">
        <v>6</v>
      </c>
      <c r="E504">
        <v>1</v>
      </c>
      <c r="F504">
        <v>0</v>
      </c>
      <c r="G504">
        <v>83.33</v>
      </c>
      <c r="H504">
        <v>1</v>
      </c>
      <c r="I504" t="s">
        <v>7</v>
      </c>
      <c r="J504">
        <v>2</v>
      </c>
      <c r="K504" t="s">
        <v>73</v>
      </c>
      <c r="L504" t="s">
        <v>6</v>
      </c>
      <c r="M504" s="1">
        <v>44902</v>
      </c>
      <c r="N504" t="s">
        <v>103</v>
      </c>
      <c r="O504" t="str">
        <f t="shared" si="14"/>
        <v>NO</v>
      </c>
      <c r="P504" t="str">
        <f t="shared" si="15"/>
        <v>NO</v>
      </c>
    </row>
    <row r="505" spans="1:16" x14ac:dyDescent="0.3">
      <c r="A505">
        <v>504</v>
      </c>
      <c r="B505">
        <v>113</v>
      </c>
      <c r="C505">
        <v>174</v>
      </c>
      <c r="D505">
        <v>91</v>
      </c>
      <c r="E505">
        <v>11</v>
      </c>
      <c r="F505">
        <v>2</v>
      </c>
      <c r="G505">
        <v>124.17</v>
      </c>
      <c r="H505">
        <v>3</v>
      </c>
      <c r="I505" t="s">
        <v>0</v>
      </c>
      <c r="J505">
        <v>1</v>
      </c>
      <c r="K505" t="s">
        <v>73</v>
      </c>
      <c r="L505" t="s">
        <v>52</v>
      </c>
      <c r="M505" s="1">
        <v>44905</v>
      </c>
      <c r="N505" t="s">
        <v>103</v>
      </c>
      <c r="O505" t="str">
        <f t="shared" si="14"/>
        <v>YES</v>
      </c>
      <c r="P505" t="str">
        <f t="shared" si="15"/>
        <v>NO</v>
      </c>
    </row>
    <row r="506" spans="1:16" x14ac:dyDescent="0.3">
      <c r="A506">
        <v>505</v>
      </c>
      <c r="B506">
        <v>1</v>
      </c>
      <c r="C506">
        <v>8</v>
      </c>
      <c r="D506">
        <v>5</v>
      </c>
      <c r="E506">
        <v>0</v>
      </c>
      <c r="F506">
        <v>0</v>
      </c>
      <c r="G506">
        <v>20</v>
      </c>
      <c r="H506">
        <v>4</v>
      </c>
      <c r="I506" t="s">
        <v>4</v>
      </c>
      <c r="J506">
        <v>1</v>
      </c>
      <c r="K506" t="s">
        <v>73</v>
      </c>
      <c r="L506" t="s">
        <v>52</v>
      </c>
      <c r="M506" s="1">
        <v>44909</v>
      </c>
      <c r="N506" t="s">
        <v>102</v>
      </c>
      <c r="O506" t="str">
        <f t="shared" si="14"/>
        <v>NO</v>
      </c>
      <c r="P506" t="str">
        <f t="shared" si="15"/>
        <v>NO</v>
      </c>
    </row>
    <row r="507" spans="1:16" x14ac:dyDescent="0.3">
      <c r="A507">
        <v>506</v>
      </c>
      <c r="B507">
        <v>19</v>
      </c>
      <c r="C507">
        <v>40</v>
      </c>
      <c r="D507">
        <v>29</v>
      </c>
      <c r="E507">
        <v>0</v>
      </c>
      <c r="F507">
        <v>0</v>
      </c>
      <c r="G507">
        <v>65.510000000000005</v>
      </c>
      <c r="H507">
        <v>4</v>
      </c>
      <c r="I507" t="s">
        <v>66</v>
      </c>
      <c r="J507">
        <v>3</v>
      </c>
      <c r="K507" t="s">
        <v>73</v>
      </c>
      <c r="L507" t="s">
        <v>52</v>
      </c>
      <c r="M507" s="1">
        <v>44909</v>
      </c>
      <c r="N507" t="s">
        <v>102</v>
      </c>
      <c r="O507" t="str">
        <f t="shared" si="14"/>
        <v>NO</v>
      </c>
      <c r="P507" t="str">
        <f t="shared" si="15"/>
        <v>NO</v>
      </c>
    </row>
    <row r="508" spans="1:16" x14ac:dyDescent="0.3">
      <c r="A508">
        <v>507</v>
      </c>
      <c r="B508">
        <v>24</v>
      </c>
      <c r="C508">
        <v>91</v>
      </c>
      <c r="D508">
        <v>73</v>
      </c>
      <c r="E508">
        <v>3</v>
      </c>
      <c r="F508">
        <v>0</v>
      </c>
      <c r="G508">
        <v>32.869999999999997</v>
      </c>
      <c r="H508">
        <v>4</v>
      </c>
      <c r="I508" t="s">
        <v>0</v>
      </c>
      <c r="J508">
        <v>2</v>
      </c>
      <c r="K508" t="s">
        <v>73</v>
      </c>
      <c r="L508" t="s">
        <v>6</v>
      </c>
      <c r="M508" s="1">
        <v>44917</v>
      </c>
      <c r="N508" t="s">
        <v>102</v>
      </c>
      <c r="O508" t="str">
        <f t="shared" si="14"/>
        <v>NO</v>
      </c>
      <c r="P508" t="str">
        <f t="shared" si="15"/>
        <v>NO</v>
      </c>
    </row>
    <row r="509" spans="1:16" x14ac:dyDescent="0.3">
      <c r="A509">
        <v>508</v>
      </c>
      <c r="B509">
        <v>1</v>
      </c>
      <c r="C509">
        <v>20</v>
      </c>
      <c r="D509">
        <v>22</v>
      </c>
      <c r="E509">
        <v>0</v>
      </c>
      <c r="F509">
        <v>0</v>
      </c>
      <c r="G509">
        <v>4.54</v>
      </c>
      <c r="H509">
        <v>5</v>
      </c>
      <c r="I509" t="s">
        <v>0</v>
      </c>
      <c r="J509">
        <v>4</v>
      </c>
      <c r="K509" t="s">
        <v>73</v>
      </c>
      <c r="L509" t="s">
        <v>6</v>
      </c>
      <c r="M509" s="1">
        <v>44917</v>
      </c>
      <c r="N509" t="s">
        <v>102</v>
      </c>
      <c r="O509" t="str">
        <f t="shared" si="14"/>
        <v>NO</v>
      </c>
      <c r="P509" t="str">
        <f t="shared" si="15"/>
        <v>NO</v>
      </c>
    </row>
    <row r="510" spans="1:16" x14ac:dyDescent="0.3">
      <c r="A510">
        <v>509</v>
      </c>
      <c r="B510">
        <v>113</v>
      </c>
      <c r="C510">
        <v>117</v>
      </c>
      <c r="D510">
        <v>87</v>
      </c>
      <c r="E510">
        <v>12</v>
      </c>
      <c r="F510">
        <v>1</v>
      </c>
      <c r="G510">
        <v>129.88</v>
      </c>
      <c r="H510">
        <v>3</v>
      </c>
      <c r="I510" t="s">
        <v>0</v>
      </c>
      <c r="J510">
        <v>1</v>
      </c>
      <c r="K510" t="s">
        <v>74</v>
      </c>
      <c r="L510" t="s">
        <v>47</v>
      </c>
      <c r="M510" s="1">
        <v>44936</v>
      </c>
      <c r="N510" t="s">
        <v>103</v>
      </c>
      <c r="O510" t="str">
        <f t="shared" si="14"/>
        <v>YES</v>
      </c>
      <c r="P510" t="str">
        <f t="shared" si="15"/>
        <v>NO</v>
      </c>
    </row>
    <row r="511" spans="1:16" x14ac:dyDescent="0.3">
      <c r="A511">
        <v>510</v>
      </c>
      <c r="B511">
        <v>4</v>
      </c>
      <c r="C511">
        <v>27</v>
      </c>
      <c r="D511">
        <v>9</v>
      </c>
      <c r="E511">
        <v>1</v>
      </c>
      <c r="F511">
        <v>0</v>
      </c>
      <c r="G511">
        <v>44.44</v>
      </c>
      <c r="H511">
        <v>3</v>
      </c>
      <c r="I511" t="s">
        <v>7</v>
      </c>
      <c r="J511">
        <v>2</v>
      </c>
      <c r="K511" t="s">
        <v>74</v>
      </c>
      <c r="L511" t="s">
        <v>21</v>
      </c>
      <c r="M511" s="1">
        <v>44938</v>
      </c>
      <c r="N511" t="s">
        <v>103</v>
      </c>
      <c r="O511" t="str">
        <f t="shared" si="14"/>
        <v>NO</v>
      </c>
      <c r="P511" t="str">
        <f t="shared" si="15"/>
        <v>NO</v>
      </c>
    </row>
    <row r="512" spans="1:16" x14ac:dyDescent="0.3">
      <c r="A512">
        <v>511</v>
      </c>
      <c r="B512">
        <v>166</v>
      </c>
      <c r="C512">
        <v>173</v>
      </c>
      <c r="D512">
        <v>110</v>
      </c>
      <c r="E512">
        <v>13</v>
      </c>
      <c r="F512">
        <v>8</v>
      </c>
      <c r="G512">
        <v>150.9</v>
      </c>
      <c r="H512">
        <v>3</v>
      </c>
      <c r="I512" t="s">
        <v>66</v>
      </c>
      <c r="J512">
        <v>1</v>
      </c>
      <c r="K512" t="s">
        <v>74</v>
      </c>
      <c r="L512" t="s">
        <v>87</v>
      </c>
      <c r="M512" s="1">
        <v>44941</v>
      </c>
      <c r="N512" t="s">
        <v>103</v>
      </c>
      <c r="O512" t="str">
        <f t="shared" si="14"/>
        <v>YES</v>
      </c>
      <c r="P512" t="str">
        <f t="shared" si="15"/>
        <v>NO</v>
      </c>
    </row>
    <row r="513" spans="1:16" x14ac:dyDescent="0.3">
      <c r="A513">
        <v>512</v>
      </c>
      <c r="B513">
        <v>8</v>
      </c>
      <c r="C513">
        <v>16</v>
      </c>
      <c r="D513">
        <v>10</v>
      </c>
      <c r="E513">
        <v>1</v>
      </c>
      <c r="F513">
        <v>0</v>
      </c>
      <c r="G513">
        <v>80</v>
      </c>
      <c r="H513">
        <v>3</v>
      </c>
      <c r="I513" t="s">
        <v>7</v>
      </c>
      <c r="J513">
        <v>1</v>
      </c>
      <c r="K513" t="s">
        <v>65</v>
      </c>
      <c r="L513" t="s">
        <v>19</v>
      </c>
      <c r="M513" s="1">
        <v>44944</v>
      </c>
      <c r="N513" t="s">
        <v>103</v>
      </c>
      <c r="O513" t="str">
        <f t="shared" si="14"/>
        <v>NO</v>
      </c>
      <c r="P513" t="str">
        <f t="shared" si="15"/>
        <v>NO</v>
      </c>
    </row>
    <row r="514" spans="1:16" x14ac:dyDescent="0.3">
      <c r="A514">
        <v>513</v>
      </c>
      <c r="B514">
        <v>11</v>
      </c>
      <c r="C514">
        <v>19</v>
      </c>
      <c r="D514">
        <v>9</v>
      </c>
      <c r="E514">
        <v>2</v>
      </c>
      <c r="F514">
        <v>0</v>
      </c>
      <c r="G514">
        <v>122.22</v>
      </c>
      <c r="H514">
        <v>3</v>
      </c>
      <c r="I514" t="s">
        <v>37</v>
      </c>
      <c r="J514">
        <v>2</v>
      </c>
      <c r="K514" t="s">
        <v>65</v>
      </c>
      <c r="L514" t="s">
        <v>101</v>
      </c>
      <c r="M514" s="1">
        <v>44947</v>
      </c>
      <c r="N514" t="s">
        <v>103</v>
      </c>
      <c r="O514" t="str">
        <f t="shared" si="14"/>
        <v>NO</v>
      </c>
      <c r="P514" t="str">
        <f t="shared" si="15"/>
        <v>NO</v>
      </c>
    </row>
    <row r="515" spans="1:16" x14ac:dyDescent="0.3">
      <c r="A515">
        <v>514</v>
      </c>
      <c r="B515">
        <v>36</v>
      </c>
      <c r="C515">
        <v>44</v>
      </c>
      <c r="D515">
        <v>27</v>
      </c>
      <c r="E515">
        <v>3</v>
      </c>
      <c r="F515">
        <v>1</v>
      </c>
      <c r="G515">
        <v>133.33000000000001</v>
      </c>
      <c r="H515">
        <v>3</v>
      </c>
      <c r="I515" t="s">
        <v>0</v>
      </c>
      <c r="J515">
        <v>1</v>
      </c>
      <c r="K515" t="s">
        <v>65</v>
      </c>
      <c r="L515" t="s">
        <v>46</v>
      </c>
      <c r="M515" s="1">
        <v>44950</v>
      </c>
      <c r="N515" t="s">
        <v>103</v>
      </c>
      <c r="O515" t="str">
        <f t="shared" ref="O515:O578" si="16">IF(B515&gt;100,"YES","NO")</f>
        <v>NO</v>
      </c>
      <c r="P515" t="str">
        <f t="shared" ref="P515:P578" si="17">IF(AND(B515&gt;=50,B515&lt;100),"YES","NO")</f>
        <v>NO</v>
      </c>
    </row>
    <row r="516" spans="1:16" x14ac:dyDescent="0.3">
      <c r="A516">
        <v>515</v>
      </c>
      <c r="B516">
        <v>12</v>
      </c>
      <c r="C516">
        <v>27</v>
      </c>
      <c r="D516">
        <v>26</v>
      </c>
      <c r="E516">
        <v>2</v>
      </c>
      <c r="F516">
        <v>0</v>
      </c>
      <c r="G516">
        <v>46.15</v>
      </c>
      <c r="H516">
        <v>5</v>
      </c>
      <c r="I516" t="s">
        <v>0</v>
      </c>
      <c r="J516">
        <v>2</v>
      </c>
      <c r="K516" t="s">
        <v>63</v>
      </c>
      <c r="L516" t="s">
        <v>28</v>
      </c>
      <c r="M516" s="1">
        <v>44966</v>
      </c>
      <c r="N516" t="s">
        <v>102</v>
      </c>
      <c r="O516" t="str">
        <f t="shared" si="16"/>
        <v>NO</v>
      </c>
      <c r="P516" t="str">
        <f t="shared" si="17"/>
        <v>NO</v>
      </c>
    </row>
    <row r="517" spans="1:16" x14ac:dyDescent="0.3">
      <c r="A517">
        <v>516</v>
      </c>
      <c r="B517">
        <v>44</v>
      </c>
      <c r="C517">
        <v>127</v>
      </c>
      <c r="D517">
        <v>84</v>
      </c>
      <c r="E517">
        <v>4</v>
      </c>
      <c r="F517">
        <v>0</v>
      </c>
      <c r="G517">
        <v>52.38</v>
      </c>
      <c r="H517">
        <v>4</v>
      </c>
      <c r="I517" t="s">
        <v>4</v>
      </c>
      <c r="J517">
        <v>2</v>
      </c>
      <c r="K517" t="s">
        <v>63</v>
      </c>
      <c r="L517" t="s">
        <v>13</v>
      </c>
      <c r="M517" s="1">
        <v>44974</v>
      </c>
      <c r="N517" t="s">
        <v>102</v>
      </c>
      <c r="O517" t="str">
        <f t="shared" si="16"/>
        <v>NO</v>
      </c>
      <c r="P517" t="str">
        <f t="shared" si="17"/>
        <v>NO</v>
      </c>
    </row>
    <row r="518" spans="1:16" x14ac:dyDescent="0.3">
      <c r="A518">
        <v>517</v>
      </c>
      <c r="B518">
        <v>20</v>
      </c>
      <c r="C518">
        <v>47</v>
      </c>
      <c r="D518">
        <v>31</v>
      </c>
      <c r="E518">
        <v>3</v>
      </c>
      <c r="F518">
        <v>0</v>
      </c>
      <c r="G518">
        <v>64.510000000000005</v>
      </c>
      <c r="H518">
        <v>4</v>
      </c>
      <c r="I518" t="s">
        <v>37</v>
      </c>
      <c r="J518">
        <v>4</v>
      </c>
      <c r="K518" t="s">
        <v>63</v>
      </c>
      <c r="L518" t="s">
        <v>13</v>
      </c>
      <c r="M518" s="1">
        <v>44974</v>
      </c>
      <c r="N518" t="s">
        <v>102</v>
      </c>
      <c r="O518" t="str">
        <f t="shared" si="16"/>
        <v>NO</v>
      </c>
      <c r="P518" t="str">
        <f t="shared" si="17"/>
        <v>NO</v>
      </c>
    </row>
    <row r="519" spans="1:16" x14ac:dyDescent="0.3">
      <c r="A519">
        <v>518</v>
      </c>
      <c r="B519">
        <v>22</v>
      </c>
      <c r="C519">
        <v>64</v>
      </c>
      <c r="D519">
        <v>52</v>
      </c>
      <c r="E519">
        <v>2</v>
      </c>
      <c r="F519">
        <v>0</v>
      </c>
      <c r="G519">
        <v>42.3</v>
      </c>
      <c r="H519">
        <v>4</v>
      </c>
      <c r="I519" t="s">
        <v>4</v>
      </c>
      <c r="J519">
        <v>1</v>
      </c>
      <c r="K519" t="s">
        <v>63</v>
      </c>
      <c r="L519" t="s">
        <v>46</v>
      </c>
      <c r="M519" s="1">
        <v>44986</v>
      </c>
      <c r="N519" t="s">
        <v>102</v>
      </c>
      <c r="O519" t="str">
        <f t="shared" si="16"/>
        <v>NO</v>
      </c>
      <c r="P519" t="str">
        <f t="shared" si="17"/>
        <v>NO</v>
      </c>
    </row>
    <row r="520" spans="1:16" x14ac:dyDescent="0.3">
      <c r="A520">
        <v>519</v>
      </c>
      <c r="B520">
        <v>13</v>
      </c>
      <c r="C520">
        <v>35</v>
      </c>
      <c r="D520">
        <v>26</v>
      </c>
      <c r="E520">
        <v>2</v>
      </c>
      <c r="F520">
        <v>0</v>
      </c>
      <c r="G520">
        <v>50</v>
      </c>
      <c r="H520">
        <v>4</v>
      </c>
      <c r="I520" t="s">
        <v>4</v>
      </c>
      <c r="J520">
        <v>3</v>
      </c>
      <c r="K520" t="s">
        <v>63</v>
      </c>
      <c r="L520" t="s">
        <v>46</v>
      </c>
      <c r="M520" s="1">
        <v>44986</v>
      </c>
      <c r="N520" t="s">
        <v>102</v>
      </c>
      <c r="O520" t="str">
        <f t="shared" si="16"/>
        <v>NO</v>
      </c>
      <c r="P520" t="str">
        <f t="shared" si="17"/>
        <v>NO</v>
      </c>
    </row>
    <row r="521" spans="1:16" x14ac:dyDescent="0.3">
      <c r="A521">
        <v>520</v>
      </c>
      <c r="B521">
        <v>186</v>
      </c>
      <c r="C521">
        <v>517</v>
      </c>
      <c r="D521">
        <v>364</v>
      </c>
      <c r="E521">
        <v>15</v>
      </c>
      <c r="F521">
        <v>0</v>
      </c>
      <c r="G521">
        <v>51.09</v>
      </c>
      <c r="H521">
        <v>4</v>
      </c>
      <c r="I521" t="s">
        <v>0</v>
      </c>
      <c r="J521">
        <v>2</v>
      </c>
      <c r="K521" t="s">
        <v>63</v>
      </c>
      <c r="L521" t="s">
        <v>14</v>
      </c>
      <c r="M521" s="1">
        <v>44994</v>
      </c>
      <c r="N521" t="s">
        <v>102</v>
      </c>
      <c r="O521" t="str">
        <f t="shared" si="16"/>
        <v>YES</v>
      </c>
      <c r="P521" t="str">
        <f t="shared" si="17"/>
        <v>NO</v>
      </c>
    </row>
    <row r="522" spans="1:16" x14ac:dyDescent="0.3">
      <c r="A522">
        <v>521</v>
      </c>
      <c r="B522">
        <v>4</v>
      </c>
      <c r="C522">
        <v>15</v>
      </c>
      <c r="D522">
        <v>9</v>
      </c>
      <c r="E522">
        <v>1</v>
      </c>
      <c r="F522">
        <v>0</v>
      </c>
      <c r="G522">
        <v>44.44</v>
      </c>
      <c r="H522">
        <v>3</v>
      </c>
      <c r="I522" t="s">
        <v>4</v>
      </c>
      <c r="J522">
        <v>2</v>
      </c>
      <c r="K522" t="s">
        <v>63</v>
      </c>
      <c r="L522" t="s">
        <v>20</v>
      </c>
      <c r="M522" s="1">
        <v>45002</v>
      </c>
      <c r="N522" t="s">
        <v>103</v>
      </c>
      <c r="O522" t="str">
        <f t="shared" si="16"/>
        <v>NO</v>
      </c>
      <c r="P522" t="str">
        <f t="shared" si="17"/>
        <v>NO</v>
      </c>
    </row>
    <row r="523" spans="1:16" x14ac:dyDescent="0.3">
      <c r="A523">
        <v>522</v>
      </c>
      <c r="B523">
        <v>31</v>
      </c>
      <c r="C523">
        <v>79</v>
      </c>
      <c r="D523">
        <v>35</v>
      </c>
      <c r="E523">
        <v>4</v>
      </c>
      <c r="F523">
        <v>0</v>
      </c>
      <c r="G523">
        <v>88.57</v>
      </c>
      <c r="H523">
        <v>3</v>
      </c>
      <c r="I523" t="s">
        <v>4</v>
      </c>
      <c r="J523">
        <v>1</v>
      </c>
      <c r="K523" t="s">
        <v>63</v>
      </c>
      <c r="L523" t="s">
        <v>11</v>
      </c>
      <c r="M523" s="1">
        <v>45004</v>
      </c>
      <c r="N523" t="s">
        <v>103</v>
      </c>
      <c r="O523" t="str">
        <f t="shared" si="16"/>
        <v>NO</v>
      </c>
      <c r="P523" t="str">
        <f t="shared" si="17"/>
        <v>NO</v>
      </c>
    </row>
    <row r="524" spans="1:16" x14ac:dyDescent="0.3">
      <c r="A524">
        <v>523</v>
      </c>
      <c r="B524">
        <v>54</v>
      </c>
      <c r="C524">
        <v>118</v>
      </c>
      <c r="D524">
        <v>72</v>
      </c>
      <c r="E524">
        <v>2</v>
      </c>
      <c r="F524">
        <v>1</v>
      </c>
      <c r="G524">
        <v>75</v>
      </c>
      <c r="H524">
        <v>3</v>
      </c>
      <c r="I524" t="s">
        <v>0</v>
      </c>
      <c r="J524">
        <v>2</v>
      </c>
      <c r="K524" t="s">
        <v>63</v>
      </c>
      <c r="L524" t="s">
        <v>30</v>
      </c>
      <c r="M524" s="1">
        <v>45007</v>
      </c>
      <c r="N524" t="s">
        <v>103</v>
      </c>
      <c r="O524" t="str">
        <f t="shared" si="16"/>
        <v>NO</v>
      </c>
      <c r="P524" t="str">
        <f t="shared" si="17"/>
        <v>YES</v>
      </c>
    </row>
    <row r="525" spans="1:16" x14ac:dyDescent="0.3">
      <c r="A525">
        <v>524</v>
      </c>
      <c r="B525">
        <v>14</v>
      </c>
      <c r="C525">
        <v>56</v>
      </c>
      <c r="D525">
        <v>31</v>
      </c>
      <c r="E525">
        <v>2</v>
      </c>
      <c r="F525">
        <v>0</v>
      </c>
      <c r="G525">
        <v>45.16</v>
      </c>
      <c r="H525">
        <v>4</v>
      </c>
      <c r="I525" t="s">
        <v>0</v>
      </c>
      <c r="J525">
        <v>2</v>
      </c>
      <c r="K525" t="s">
        <v>63</v>
      </c>
      <c r="L525" t="s">
        <v>17</v>
      </c>
      <c r="M525" s="1">
        <v>45084</v>
      </c>
      <c r="N525" t="s">
        <v>102</v>
      </c>
      <c r="O525" t="str">
        <f t="shared" si="16"/>
        <v>NO</v>
      </c>
      <c r="P525" t="str">
        <f t="shared" si="17"/>
        <v>NO</v>
      </c>
    </row>
    <row r="526" spans="1:16" x14ac:dyDescent="0.3">
      <c r="A526">
        <v>525</v>
      </c>
      <c r="B526">
        <v>49</v>
      </c>
      <c r="C526">
        <v>115</v>
      </c>
      <c r="D526">
        <v>78</v>
      </c>
      <c r="E526">
        <v>7</v>
      </c>
      <c r="F526">
        <v>0</v>
      </c>
      <c r="G526">
        <v>62.82</v>
      </c>
      <c r="H526">
        <v>4</v>
      </c>
      <c r="I526" t="s">
        <v>0</v>
      </c>
      <c r="J526">
        <v>4</v>
      </c>
      <c r="K526" t="s">
        <v>63</v>
      </c>
      <c r="L526" t="s">
        <v>17</v>
      </c>
      <c r="M526" s="1">
        <v>45084</v>
      </c>
      <c r="N526" t="s">
        <v>102</v>
      </c>
      <c r="O526" t="str">
        <f t="shared" si="16"/>
        <v>NO</v>
      </c>
      <c r="P526" t="str">
        <f t="shared" si="17"/>
        <v>NO</v>
      </c>
    </row>
    <row r="527" spans="1:16" x14ac:dyDescent="0.3">
      <c r="A527">
        <v>526</v>
      </c>
      <c r="B527">
        <v>76</v>
      </c>
      <c r="C527">
        <v>262</v>
      </c>
      <c r="D527">
        <v>182</v>
      </c>
      <c r="E527">
        <v>5</v>
      </c>
      <c r="F527">
        <v>0</v>
      </c>
      <c r="G527">
        <v>41.75</v>
      </c>
      <c r="H527">
        <v>4</v>
      </c>
      <c r="I527" t="s">
        <v>0</v>
      </c>
      <c r="J527">
        <v>2</v>
      </c>
      <c r="K527" t="s">
        <v>60</v>
      </c>
      <c r="L527" t="s">
        <v>62</v>
      </c>
      <c r="M527" s="1">
        <v>45119</v>
      </c>
      <c r="N527" t="s">
        <v>102</v>
      </c>
      <c r="O527" t="str">
        <f t="shared" si="16"/>
        <v>NO</v>
      </c>
      <c r="P527" t="str">
        <f t="shared" si="17"/>
        <v>YES</v>
      </c>
    </row>
    <row r="528" spans="1:16" x14ac:dyDescent="0.3">
      <c r="A528">
        <v>527</v>
      </c>
      <c r="B528">
        <v>121</v>
      </c>
      <c r="C528">
        <v>272</v>
      </c>
      <c r="D528">
        <v>206</v>
      </c>
      <c r="E528">
        <v>11</v>
      </c>
      <c r="F528">
        <v>0</v>
      </c>
      <c r="G528">
        <v>58.73</v>
      </c>
      <c r="H528">
        <v>4</v>
      </c>
      <c r="I528" t="s">
        <v>64</v>
      </c>
      <c r="J528">
        <v>1</v>
      </c>
      <c r="K528" t="s">
        <v>60</v>
      </c>
      <c r="L528" t="s">
        <v>78</v>
      </c>
      <c r="M528" s="1">
        <v>45127</v>
      </c>
      <c r="N528" t="s">
        <v>102</v>
      </c>
      <c r="O528" t="str">
        <f t="shared" si="16"/>
        <v>YES</v>
      </c>
      <c r="P528" t="str">
        <f t="shared" si="17"/>
        <v>NO</v>
      </c>
    </row>
    <row r="529" spans="1:16" x14ac:dyDescent="0.3">
      <c r="A529">
        <v>528</v>
      </c>
      <c r="B529">
        <v>4</v>
      </c>
      <c r="C529">
        <v>8</v>
      </c>
      <c r="D529">
        <v>7</v>
      </c>
      <c r="E529">
        <v>1</v>
      </c>
      <c r="F529">
        <v>0</v>
      </c>
      <c r="G529">
        <v>57.14</v>
      </c>
      <c r="H529">
        <v>3</v>
      </c>
      <c r="I529" t="s">
        <v>7</v>
      </c>
      <c r="J529">
        <v>1</v>
      </c>
      <c r="K529" t="s">
        <v>84</v>
      </c>
      <c r="L529" t="s">
        <v>53</v>
      </c>
      <c r="M529" s="1">
        <v>45171</v>
      </c>
      <c r="N529" t="s">
        <v>103</v>
      </c>
      <c r="O529" t="str">
        <f t="shared" si="16"/>
        <v>NO</v>
      </c>
      <c r="P529" t="str">
        <f t="shared" si="17"/>
        <v>NO</v>
      </c>
    </row>
    <row r="530" spans="1:16" x14ac:dyDescent="0.3">
      <c r="A530">
        <v>529</v>
      </c>
      <c r="B530">
        <v>122</v>
      </c>
      <c r="C530">
        <v>147</v>
      </c>
      <c r="D530">
        <v>94</v>
      </c>
      <c r="E530">
        <v>9</v>
      </c>
      <c r="F530">
        <v>3</v>
      </c>
      <c r="G530">
        <v>129.78</v>
      </c>
      <c r="H530">
        <v>3</v>
      </c>
      <c r="I530" t="s">
        <v>66</v>
      </c>
      <c r="J530">
        <v>1</v>
      </c>
      <c r="K530" t="s">
        <v>84</v>
      </c>
      <c r="L530" t="s">
        <v>27</v>
      </c>
      <c r="M530" s="1">
        <v>45179</v>
      </c>
      <c r="N530" t="s">
        <v>103</v>
      </c>
      <c r="O530" t="str">
        <f t="shared" si="16"/>
        <v>YES</v>
      </c>
      <c r="P530" t="str">
        <f t="shared" si="17"/>
        <v>NO</v>
      </c>
    </row>
    <row r="531" spans="1:16" x14ac:dyDescent="0.3">
      <c r="A531">
        <v>530</v>
      </c>
      <c r="B531">
        <v>3</v>
      </c>
      <c r="C531">
        <v>12</v>
      </c>
      <c r="D531">
        <v>12</v>
      </c>
      <c r="E531">
        <v>0</v>
      </c>
      <c r="F531">
        <v>0</v>
      </c>
      <c r="G531">
        <v>25</v>
      </c>
      <c r="H531">
        <v>3</v>
      </c>
      <c r="I531" t="s">
        <v>0</v>
      </c>
      <c r="J531">
        <v>1</v>
      </c>
      <c r="K531" t="s">
        <v>74</v>
      </c>
      <c r="L531" t="s">
        <v>27</v>
      </c>
      <c r="M531" s="1">
        <v>45181</v>
      </c>
      <c r="N531" t="s">
        <v>103</v>
      </c>
      <c r="O531" t="str">
        <f t="shared" si="16"/>
        <v>NO</v>
      </c>
      <c r="P531" t="str">
        <f t="shared" si="17"/>
        <v>NO</v>
      </c>
    </row>
    <row r="532" spans="1:16" x14ac:dyDescent="0.3">
      <c r="A532">
        <v>531</v>
      </c>
      <c r="B532">
        <v>56</v>
      </c>
      <c r="C532">
        <v>63</v>
      </c>
      <c r="D532">
        <v>61</v>
      </c>
      <c r="E532">
        <v>5</v>
      </c>
      <c r="F532">
        <v>1</v>
      </c>
      <c r="G532">
        <v>91.8</v>
      </c>
      <c r="H532">
        <v>3</v>
      </c>
      <c r="I532" t="s">
        <v>0</v>
      </c>
      <c r="J532">
        <v>2</v>
      </c>
      <c r="K532" t="s">
        <v>63</v>
      </c>
      <c r="L532" t="s">
        <v>31</v>
      </c>
      <c r="M532" s="1">
        <v>45196</v>
      </c>
      <c r="N532" t="s">
        <v>103</v>
      </c>
      <c r="O532" t="str">
        <f t="shared" si="16"/>
        <v>NO</v>
      </c>
      <c r="P532" t="str">
        <f t="shared" si="17"/>
        <v>YES</v>
      </c>
    </row>
    <row r="533" spans="1:16" x14ac:dyDescent="0.3">
      <c r="A533">
        <v>532</v>
      </c>
      <c r="B533">
        <v>85</v>
      </c>
      <c r="C533">
        <v>171</v>
      </c>
      <c r="D533">
        <v>116</v>
      </c>
      <c r="E533">
        <v>6</v>
      </c>
      <c r="F533">
        <v>0</v>
      </c>
      <c r="G533">
        <v>73.27</v>
      </c>
      <c r="H533">
        <v>3</v>
      </c>
      <c r="I533" t="s">
        <v>0</v>
      </c>
      <c r="J533">
        <v>2</v>
      </c>
      <c r="K533" t="s">
        <v>63</v>
      </c>
      <c r="L533" t="s">
        <v>30</v>
      </c>
      <c r="M533" s="1">
        <v>45207</v>
      </c>
      <c r="N533" t="s">
        <v>103</v>
      </c>
      <c r="O533" t="str">
        <f t="shared" si="16"/>
        <v>NO</v>
      </c>
      <c r="P533" t="str">
        <f t="shared" si="17"/>
        <v>YES</v>
      </c>
    </row>
    <row r="534" spans="1:16" x14ac:dyDescent="0.3">
      <c r="A534">
        <v>533</v>
      </c>
      <c r="B534">
        <v>55</v>
      </c>
      <c r="C534">
        <v>64</v>
      </c>
      <c r="D534">
        <v>56</v>
      </c>
      <c r="E534">
        <v>6</v>
      </c>
      <c r="F534">
        <v>0</v>
      </c>
      <c r="G534">
        <v>98.21</v>
      </c>
      <c r="H534">
        <v>3</v>
      </c>
      <c r="I534" t="s">
        <v>66</v>
      </c>
      <c r="J534">
        <v>2</v>
      </c>
      <c r="K534" t="s">
        <v>83</v>
      </c>
      <c r="L534" t="s">
        <v>13</v>
      </c>
      <c r="M534" s="1">
        <v>45210</v>
      </c>
      <c r="N534" t="s">
        <v>103</v>
      </c>
      <c r="O534" t="str">
        <f t="shared" si="16"/>
        <v>NO</v>
      </c>
      <c r="P534" t="str">
        <f t="shared" si="17"/>
        <v>YES</v>
      </c>
    </row>
    <row r="535" spans="1:16" x14ac:dyDescent="0.3">
      <c r="A535">
        <v>534</v>
      </c>
      <c r="B535">
        <v>16</v>
      </c>
      <c r="C535">
        <v>31</v>
      </c>
      <c r="D535">
        <v>18</v>
      </c>
      <c r="E535">
        <v>3</v>
      </c>
      <c r="F535">
        <v>0</v>
      </c>
      <c r="G535">
        <v>88.88</v>
      </c>
      <c r="H535">
        <v>3</v>
      </c>
      <c r="I535" t="s">
        <v>0</v>
      </c>
      <c r="J535">
        <v>2</v>
      </c>
      <c r="K535" t="s">
        <v>84</v>
      </c>
      <c r="L535" t="s">
        <v>14</v>
      </c>
      <c r="M535" s="1">
        <v>45213</v>
      </c>
      <c r="N535" t="s">
        <v>103</v>
      </c>
      <c r="O535" t="str">
        <f t="shared" si="16"/>
        <v>NO</v>
      </c>
      <c r="P535" t="str">
        <f t="shared" si="17"/>
        <v>NO</v>
      </c>
    </row>
    <row r="536" spans="1:16" x14ac:dyDescent="0.3">
      <c r="A536">
        <v>535</v>
      </c>
      <c r="B536">
        <v>103</v>
      </c>
      <c r="C536">
        <v>113</v>
      </c>
      <c r="D536">
        <v>97</v>
      </c>
      <c r="E536">
        <v>6</v>
      </c>
      <c r="F536">
        <v>4</v>
      </c>
      <c r="G536">
        <v>106.18</v>
      </c>
      <c r="H536">
        <v>3</v>
      </c>
      <c r="I536" t="s">
        <v>66</v>
      </c>
      <c r="J536">
        <v>2</v>
      </c>
      <c r="K536" t="s">
        <v>73</v>
      </c>
      <c r="L536" t="s">
        <v>29</v>
      </c>
      <c r="M536" s="1">
        <v>45218</v>
      </c>
      <c r="N536" t="s">
        <v>103</v>
      </c>
      <c r="O536" t="str">
        <f t="shared" si="16"/>
        <v>YES</v>
      </c>
      <c r="P536" t="str">
        <f t="shared" si="17"/>
        <v>NO</v>
      </c>
    </row>
    <row r="537" spans="1:16" x14ac:dyDescent="0.3">
      <c r="A537">
        <v>536</v>
      </c>
      <c r="B537">
        <v>95</v>
      </c>
      <c r="C537">
        <v>154</v>
      </c>
      <c r="D537">
        <v>104</v>
      </c>
      <c r="E537">
        <v>8</v>
      </c>
      <c r="F537">
        <v>2</v>
      </c>
      <c r="G537">
        <v>91.34</v>
      </c>
      <c r="H537">
        <v>3</v>
      </c>
      <c r="I537" t="s">
        <v>0</v>
      </c>
      <c r="J537">
        <v>2</v>
      </c>
      <c r="K537" t="s">
        <v>65</v>
      </c>
      <c r="L537" t="s">
        <v>34</v>
      </c>
      <c r="M537" s="1">
        <v>45221</v>
      </c>
      <c r="N537" t="s">
        <v>103</v>
      </c>
      <c r="O537" t="str">
        <f t="shared" si="16"/>
        <v>NO</v>
      </c>
      <c r="P537" t="str">
        <f t="shared" si="17"/>
        <v>YES</v>
      </c>
    </row>
    <row r="538" spans="1:16" x14ac:dyDescent="0.3">
      <c r="A538">
        <v>537</v>
      </c>
      <c r="B538">
        <v>0</v>
      </c>
      <c r="C538">
        <v>12</v>
      </c>
      <c r="D538">
        <v>9</v>
      </c>
      <c r="E538">
        <v>0</v>
      </c>
      <c r="F538">
        <v>0</v>
      </c>
      <c r="G538">
        <v>0</v>
      </c>
      <c r="H538">
        <v>3</v>
      </c>
      <c r="I538" t="s">
        <v>0</v>
      </c>
      <c r="J538">
        <v>1</v>
      </c>
      <c r="K538" t="s">
        <v>67</v>
      </c>
      <c r="L538" t="s">
        <v>54</v>
      </c>
      <c r="M538" s="1">
        <v>45228</v>
      </c>
      <c r="N538" t="s">
        <v>103</v>
      </c>
      <c r="O538" t="str">
        <f t="shared" si="16"/>
        <v>NO</v>
      </c>
      <c r="P538" t="str">
        <f t="shared" si="17"/>
        <v>NO</v>
      </c>
    </row>
    <row r="539" spans="1:16" x14ac:dyDescent="0.3">
      <c r="A539">
        <v>538</v>
      </c>
      <c r="B539">
        <v>88</v>
      </c>
      <c r="C539">
        <v>139</v>
      </c>
      <c r="D539">
        <v>94</v>
      </c>
      <c r="E539">
        <v>11</v>
      </c>
      <c r="F539">
        <v>0</v>
      </c>
      <c r="G539">
        <v>93.61</v>
      </c>
      <c r="H539">
        <v>3</v>
      </c>
      <c r="I539" t="s">
        <v>0</v>
      </c>
      <c r="J539">
        <v>1</v>
      </c>
      <c r="K539" t="s">
        <v>74</v>
      </c>
      <c r="L539" t="s">
        <v>20</v>
      </c>
      <c r="M539" s="1">
        <v>45232</v>
      </c>
      <c r="N539" t="s">
        <v>103</v>
      </c>
      <c r="O539" t="str">
        <f t="shared" si="16"/>
        <v>NO</v>
      </c>
      <c r="P539" t="str">
        <f t="shared" si="17"/>
        <v>YES</v>
      </c>
    </row>
    <row r="540" spans="1:16" x14ac:dyDescent="0.3">
      <c r="A540">
        <v>539</v>
      </c>
      <c r="B540">
        <v>101</v>
      </c>
      <c r="C540">
        <v>195</v>
      </c>
      <c r="D540">
        <v>121</v>
      </c>
      <c r="E540">
        <v>10</v>
      </c>
      <c r="F540">
        <v>0</v>
      </c>
      <c r="G540">
        <v>83.47</v>
      </c>
      <c r="H540">
        <v>3</v>
      </c>
      <c r="I540" t="s">
        <v>66</v>
      </c>
      <c r="J540">
        <v>1</v>
      </c>
      <c r="K540" t="s">
        <v>68</v>
      </c>
      <c r="L540" t="s">
        <v>21</v>
      </c>
      <c r="M540" s="1">
        <v>45235</v>
      </c>
      <c r="N540" t="s">
        <v>103</v>
      </c>
      <c r="O540" t="str">
        <f t="shared" si="16"/>
        <v>YES</v>
      </c>
      <c r="P540" t="str">
        <f t="shared" si="17"/>
        <v>NO</v>
      </c>
    </row>
    <row r="541" spans="1:16" x14ac:dyDescent="0.3">
      <c r="A541">
        <v>540</v>
      </c>
      <c r="B541">
        <v>51</v>
      </c>
      <c r="C541">
        <v>69</v>
      </c>
      <c r="D541">
        <v>56</v>
      </c>
      <c r="E541">
        <v>5</v>
      </c>
      <c r="F541">
        <v>1</v>
      </c>
      <c r="G541">
        <v>91.07</v>
      </c>
      <c r="H541">
        <v>3</v>
      </c>
      <c r="I541" t="s">
        <v>7</v>
      </c>
      <c r="J541">
        <v>1</v>
      </c>
      <c r="K541" t="s">
        <v>91</v>
      </c>
      <c r="L541" t="s">
        <v>12</v>
      </c>
      <c r="M541" s="1">
        <v>45242</v>
      </c>
      <c r="N541" t="s">
        <v>103</v>
      </c>
      <c r="O541" t="str">
        <f t="shared" si="16"/>
        <v>NO</v>
      </c>
      <c r="P541" t="str">
        <f t="shared" si="17"/>
        <v>YES</v>
      </c>
    </row>
    <row r="542" spans="1:16" x14ac:dyDescent="0.3">
      <c r="A542">
        <v>541</v>
      </c>
      <c r="B542">
        <v>117</v>
      </c>
      <c r="C542">
        <v>149</v>
      </c>
      <c r="D542">
        <v>113</v>
      </c>
      <c r="E542">
        <v>9</v>
      </c>
      <c r="F542">
        <v>2</v>
      </c>
      <c r="G542">
        <v>103.53</v>
      </c>
      <c r="H542">
        <v>3</v>
      </c>
      <c r="I542" t="s">
        <v>0</v>
      </c>
      <c r="J542">
        <v>1</v>
      </c>
      <c r="K542" t="s">
        <v>65</v>
      </c>
      <c r="L542" t="s">
        <v>20</v>
      </c>
      <c r="M542" s="1">
        <v>45245</v>
      </c>
      <c r="N542" t="s">
        <v>103</v>
      </c>
      <c r="O542" t="str">
        <f t="shared" si="16"/>
        <v>YES</v>
      </c>
      <c r="P542" t="str">
        <f t="shared" si="17"/>
        <v>NO</v>
      </c>
    </row>
    <row r="543" spans="1:16" x14ac:dyDescent="0.3">
      <c r="A543">
        <v>542</v>
      </c>
      <c r="B543">
        <v>54</v>
      </c>
      <c r="C543">
        <v>99</v>
      </c>
      <c r="D543">
        <v>63</v>
      </c>
      <c r="E543">
        <v>4</v>
      </c>
      <c r="F543">
        <v>0</v>
      </c>
      <c r="G543">
        <v>85.71</v>
      </c>
      <c r="H543">
        <v>3</v>
      </c>
      <c r="I543" t="s">
        <v>7</v>
      </c>
      <c r="J543">
        <v>1</v>
      </c>
      <c r="K543" t="s">
        <v>63</v>
      </c>
      <c r="L543" t="s">
        <v>14</v>
      </c>
      <c r="M543" s="1">
        <v>45249</v>
      </c>
      <c r="N543" t="s">
        <v>103</v>
      </c>
      <c r="O543" t="str">
        <f t="shared" si="16"/>
        <v>NO</v>
      </c>
      <c r="P543" t="str">
        <f t="shared" si="17"/>
        <v>YES</v>
      </c>
    </row>
    <row r="544" spans="1:16" x14ac:dyDescent="0.3">
      <c r="A544">
        <v>543</v>
      </c>
      <c r="B544">
        <v>38</v>
      </c>
      <c r="C544">
        <v>96</v>
      </c>
      <c r="D544">
        <v>64</v>
      </c>
      <c r="E544">
        <v>5</v>
      </c>
      <c r="F544">
        <v>0</v>
      </c>
      <c r="G544">
        <v>59.37</v>
      </c>
      <c r="H544">
        <v>4</v>
      </c>
      <c r="I544" t="s">
        <v>0</v>
      </c>
      <c r="J544">
        <v>1</v>
      </c>
      <c r="K544" t="s">
        <v>68</v>
      </c>
      <c r="L544" t="s">
        <v>2</v>
      </c>
      <c r="M544" s="1">
        <v>45286</v>
      </c>
      <c r="N544" t="s">
        <v>102</v>
      </c>
      <c r="O544" t="str">
        <f t="shared" si="16"/>
        <v>NO</v>
      </c>
      <c r="P544" t="str">
        <f t="shared" si="17"/>
        <v>NO</v>
      </c>
    </row>
    <row r="545" spans="1:16" x14ac:dyDescent="0.3">
      <c r="A545">
        <v>544</v>
      </c>
      <c r="B545">
        <v>76</v>
      </c>
      <c r="C545">
        <v>137</v>
      </c>
      <c r="D545">
        <v>82</v>
      </c>
      <c r="E545">
        <v>12</v>
      </c>
      <c r="F545">
        <v>1</v>
      </c>
      <c r="G545">
        <v>92.68</v>
      </c>
      <c r="H545">
        <v>4</v>
      </c>
      <c r="I545" t="s">
        <v>0</v>
      </c>
      <c r="J545">
        <v>3</v>
      </c>
      <c r="K545" t="s">
        <v>68</v>
      </c>
      <c r="L545" t="s">
        <v>2</v>
      </c>
      <c r="M545" s="1">
        <v>45286</v>
      </c>
      <c r="N545" t="s">
        <v>102</v>
      </c>
      <c r="O545" t="str">
        <f t="shared" si="16"/>
        <v>NO</v>
      </c>
      <c r="P545" t="str">
        <f t="shared" si="17"/>
        <v>YES</v>
      </c>
    </row>
    <row r="546" spans="1:16" x14ac:dyDescent="0.3">
      <c r="A546">
        <v>545</v>
      </c>
      <c r="B546">
        <v>46</v>
      </c>
      <c r="C546">
        <v>103</v>
      </c>
      <c r="D546">
        <v>59</v>
      </c>
      <c r="E546">
        <v>6</v>
      </c>
      <c r="F546">
        <v>1</v>
      </c>
      <c r="G546">
        <v>77.959999999999994</v>
      </c>
      <c r="H546">
        <v>4</v>
      </c>
      <c r="I546" t="s">
        <v>0</v>
      </c>
      <c r="J546">
        <v>2</v>
      </c>
      <c r="K546" t="s">
        <v>68</v>
      </c>
      <c r="L546" t="s">
        <v>80</v>
      </c>
      <c r="M546" s="1">
        <v>45294</v>
      </c>
      <c r="N546" t="s">
        <v>102</v>
      </c>
      <c r="O546" t="str">
        <f t="shared" si="16"/>
        <v>NO</v>
      </c>
      <c r="P546" t="str">
        <f t="shared" si="17"/>
        <v>NO</v>
      </c>
    </row>
    <row r="547" spans="1:16" x14ac:dyDescent="0.3">
      <c r="A547">
        <v>546</v>
      </c>
      <c r="B547">
        <v>12</v>
      </c>
      <c r="C547">
        <v>13</v>
      </c>
      <c r="D547">
        <v>11</v>
      </c>
      <c r="E547">
        <v>2</v>
      </c>
      <c r="F547">
        <v>0</v>
      </c>
      <c r="G547">
        <v>109.09</v>
      </c>
      <c r="H547">
        <v>4</v>
      </c>
      <c r="I547" t="s">
        <v>0</v>
      </c>
      <c r="J547">
        <v>4</v>
      </c>
      <c r="K547" t="s">
        <v>68</v>
      </c>
      <c r="L547" t="s">
        <v>80</v>
      </c>
      <c r="M547" s="1">
        <v>45294</v>
      </c>
      <c r="N547" t="s">
        <v>102</v>
      </c>
      <c r="O547" t="str">
        <f t="shared" si="16"/>
        <v>NO</v>
      </c>
      <c r="P547" t="str">
        <f t="shared" si="17"/>
        <v>NO</v>
      </c>
    </row>
    <row r="548" spans="1:16" x14ac:dyDescent="0.3">
      <c r="A548">
        <v>547</v>
      </c>
      <c r="B548">
        <v>29</v>
      </c>
      <c r="C548">
        <v>20</v>
      </c>
      <c r="D548">
        <v>16</v>
      </c>
      <c r="E548">
        <v>5</v>
      </c>
      <c r="F548">
        <v>0</v>
      </c>
      <c r="G548">
        <v>181.25</v>
      </c>
      <c r="H548">
        <v>3</v>
      </c>
      <c r="I548" t="s">
        <v>0</v>
      </c>
      <c r="J548">
        <v>2</v>
      </c>
      <c r="K548" t="s">
        <v>83</v>
      </c>
      <c r="L548" t="s">
        <v>46</v>
      </c>
      <c r="M548" s="1">
        <v>45305</v>
      </c>
      <c r="N548" t="s">
        <v>104</v>
      </c>
      <c r="O548" t="str">
        <f t="shared" si="16"/>
        <v>NO</v>
      </c>
      <c r="P548" t="str">
        <f t="shared" si="17"/>
        <v>NO</v>
      </c>
    </row>
    <row r="549" spans="1:16" x14ac:dyDescent="0.3">
      <c r="A549">
        <v>548</v>
      </c>
      <c r="B549">
        <v>0</v>
      </c>
      <c r="C549">
        <v>1</v>
      </c>
      <c r="D549">
        <v>1</v>
      </c>
      <c r="E549">
        <v>0</v>
      </c>
      <c r="F549">
        <v>0</v>
      </c>
      <c r="G549">
        <v>0</v>
      </c>
      <c r="H549">
        <v>3</v>
      </c>
      <c r="I549" t="s">
        <v>0</v>
      </c>
      <c r="J549">
        <v>1</v>
      </c>
      <c r="K549" t="s">
        <v>83</v>
      </c>
      <c r="L549" t="s">
        <v>12</v>
      </c>
      <c r="M549" s="1">
        <v>45308</v>
      </c>
      <c r="N549" t="s">
        <v>104</v>
      </c>
      <c r="O549" t="str">
        <f t="shared" si="16"/>
        <v>NO</v>
      </c>
      <c r="P549" t="str">
        <f t="shared" si="17"/>
        <v>NO</v>
      </c>
    </row>
    <row r="550" spans="1:16" x14ac:dyDescent="0.3">
      <c r="A550">
        <v>549</v>
      </c>
      <c r="B550">
        <v>1</v>
      </c>
      <c r="C550">
        <v>13</v>
      </c>
      <c r="D550">
        <v>5</v>
      </c>
      <c r="E550">
        <v>0</v>
      </c>
      <c r="F550">
        <v>0</v>
      </c>
      <c r="G550">
        <v>20</v>
      </c>
      <c r="H550">
        <v>2</v>
      </c>
      <c r="I550" t="s">
        <v>0</v>
      </c>
      <c r="J550">
        <v>2</v>
      </c>
      <c r="K550" t="s">
        <v>88</v>
      </c>
      <c r="L550" t="s">
        <v>55</v>
      </c>
      <c r="M550" s="1">
        <v>45448</v>
      </c>
      <c r="N550" t="s">
        <v>104</v>
      </c>
      <c r="O550" t="str">
        <f t="shared" si="16"/>
        <v>NO</v>
      </c>
      <c r="P550" t="str">
        <f t="shared" si="17"/>
        <v>NO</v>
      </c>
    </row>
    <row r="551" spans="1:16" x14ac:dyDescent="0.3">
      <c r="A551">
        <v>550</v>
      </c>
      <c r="B551">
        <v>4</v>
      </c>
      <c r="C551">
        <v>7</v>
      </c>
      <c r="D551">
        <v>3</v>
      </c>
      <c r="E551">
        <v>1</v>
      </c>
      <c r="F551">
        <v>0</v>
      </c>
      <c r="G551">
        <v>133.33000000000001</v>
      </c>
      <c r="H551">
        <v>2</v>
      </c>
      <c r="I551" t="s">
        <v>0</v>
      </c>
      <c r="J551">
        <v>1</v>
      </c>
      <c r="K551" t="s">
        <v>84</v>
      </c>
      <c r="L551" t="s">
        <v>55</v>
      </c>
      <c r="M551" s="1">
        <v>45452</v>
      </c>
      <c r="N551" t="s">
        <v>104</v>
      </c>
      <c r="O551" t="str">
        <f t="shared" si="16"/>
        <v>NO</v>
      </c>
      <c r="P551" t="str">
        <f t="shared" si="17"/>
        <v>NO</v>
      </c>
    </row>
    <row r="552" spans="1:16" x14ac:dyDescent="0.3">
      <c r="A552">
        <v>551</v>
      </c>
      <c r="B552">
        <v>0</v>
      </c>
      <c r="C552">
        <v>1</v>
      </c>
      <c r="D552">
        <v>1</v>
      </c>
      <c r="E552">
        <v>0</v>
      </c>
      <c r="F552">
        <v>0</v>
      </c>
      <c r="G552">
        <v>0</v>
      </c>
      <c r="H552">
        <v>2</v>
      </c>
      <c r="I552" t="s">
        <v>0</v>
      </c>
      <c r="J552">
        <v>2</v>
      </c>
      <c r="K552" t="s">
        <v>92</v>
      </c>
      <c r="L552" t="s">
        <v>55</v>
      </c>
      <c r="M552" s="1">
        <v>45455</v>
      </c>
      <c r="N552" t="s">
        <v>104</v>
      </c>
      <c r="O552" t="str">
        <f t="shared" si="16"/>
        <v>NO</v>
      </c>
      <c r="P552" t="str">
        <f t="shared" si="17"/>
        <v>NO</v>
      </c>
    </row>
    <row r="553" spans="1:16" x14ac:dyDescent="0.3">
      <c r="A553">
        <v>552</v>
      </c>
      <c r="B553">
        <v>24</v>
      </c>
      <c r="C553">
        <v>41</v>
      </c>
      <c r="D553">
        <v>24</v>
      </c>
      <c r="E553">
        <v>0</v>
      </c>
      <c r="F553">
        <v>1</v>
      </c>
      <c r="G553">
        <v>100</v>
      </c>
      <c r="H553">
        <v>2</v>
      </c>
      <c r="I553" t="s">
        <v>0</v>
      </c>
      <c r="J553">
        <v>1</v>
      </c>
      <c r="K553" t="s">
        <v>83</v>
      </c>
      <c r="L553" t="s">
        <v>56</v>
      </c>
      <c r="M553" s="1">
        <v>45463</v>
      </c>
      <c r="N553" t="s">
        <v>104</v>
      </c>
      <c r="O553" t="str">
        <f t="shared" si="16"/>
        <v>NO</v>
      </c>
      <c r="P553" t="str">
        <f t="shared" si="17"/>
        <v>NO</v>
      </c>
    </row>
    <row r="554" spans="1:16" x14ac:dyDescent="0.3">
      <c r="A554">
        <v>553</v>
      </c>
      <c r="B554">
        <v>37</v>
      </c>
      <c r="C554">
        <v>34</v>
      </c>
      <c r="D554">
        <v>28</v>
      </c>
      <c r="E554">
        <v>1</v>
      </c>
      <c r="F554">
        <v>3</v>
      </c>
      <c r="G554">
        <v>132.13999999999999</v>
      </c>
      <c r="H554">
        <v>2</v>
      </c>
      <c r="I554" t="s">
        <v>7</v>
      </c>
      <c r="J554">
        <v>1</v>
      </c>
      <c r="K554" t="s">
        <v>73</v>
      </c>
      <c r="L554" t="s">
        <v>57</v>
      </c>
      <c r="M554" s="1">
        <v>45465</v>
      </c>
      <c r="N554" t="s">
        <v>104</v>
      </c>
      <c r="O554" t="str">
        <f t="shared" si="16"/>
        <v>NO</v>
      </c>
      <c r="P554" t="str">
        <f t="shared" si="17"/>
        <v>NO</v>
      </c>
    </row>
    <row r="555" spans="1:16" x14ac:dyDescent="0.3">
      <c r="A555">
        <v>554</v>
      </c>
      <c r="B555">
        <v>0</v>
      </c>
      <c r="C555">
        <v>8</v>
      </c>
      <c r="D555">
        <v>5</v>
      </c>
      <c r="E555">
        <v>0</v>
      </c>
      <c r="F555">
        <v>0</v>
      </c>
      <c r="G555">
        <v>0</v>
      </c>
      <c r="H555">
        <v>2</v>
      </c>
      <c r="I555" t="s">
        <v>0</v>
      </c>
      <c r="J555">
        <v>1</v>
      </c>
      <c r="K555" t="s">
        <v>63</v>
      </c>
      <c r="L555" t="s">
        <v>58</v>
      </c>
      <c r="M555" s="1">
        <v>45467</v>
      </c>
      <c r="N555" t="s">
        <v>104</v>
      </c>
      <c r="O555" t="str">
        <f t="shared" si="16"/>
        <v>NO</v>
      </c>
      <c r="P555" t="str">
        <f t="shared" si="17"/>
        <v>NO</v>
      </c>
    </row>
    <row r="556" spans="1:16" x14ac:dyDescent="0.3">
      <c r="A556">
        <v>555</v>
      </c>
      <c r="B556">
        <v>9</v>
      </c>
      <c r="C556">
        <v>10</v>
      </c>
      <c r="D556">
        <v>9</v>
      </c>
      <c r="E556">
        <v>0</v>
      </c>
      <c r="F556">
        <v>1</v>
      </c>
      <c r="G556">
        <v>100</v>
      </c>
      <c r="H556">
        <v>2</v>
      </c>
      <c r="I556" t="s">
        <v>7</v>
      </c>
      <c r="J556">
        <v>1</v>
      </c>
      <c r="K556" t="s">
        <v>67</v>
      </c>
      <c r="L556" t="s">
        <v>59</v>
      </c>
      <c r="M556" s="1">
        <v>45470</v>
      </c>
      <c r="N556" t="s">
        <v>104</v>
      </c>
      <c r="O556" t="str">
        <f t="shared" si="16"/>
        <v>NO</v>
      </c>
      <c r="P556" t="str">
        <f t="shared" si="17"/>
        <v>NO</v>
      </c>
    </row>
    <row r="557" spans="1:16" x14ac:dyDescent="0.3">
      <c r="A557">
        <v>556</v>
      </c>
      <c r="B557">
        <v>76</v>
      </c>
      <c r="C557">
        <v>87</v>
      </c>
      <c r="D557">
        <v>59</v>
      </c>
      <c r="E557">
        <v>6</v>
      </c>
      <c r="F557">
        <v>2</v>
      </c>
      <c r="G557">
        <v>128.81</v>
      </c>
      <c r="H557">
        <v>2</v>
      </c>
      <c r="I557" t="s">
        <v>0</v>
      </c>
      <c r="J557">
        <v>1</v>
      </c>
      <c r="K557" t="s">
        <v>68</v>
      </c>
      <c r="L557" t="s">
        <v>56</v>
      </c>
      <c r="M557" s="1">
        <v>45472</v>
      </c>
      <c r="N557" t="s">
        <v>104</v>
      </c>
      <c r="O557" t="str">
        <f t="shared" si="16"/>
        <v>NO</v>
      </c>
      <c r="P557" t="str">
        <f t="shared" si="17"/>
        <v>YES</v>
      </c>
    </row>
    <row r="558" spans="1:16" x14ac:dyDescent="0.3">
      <c r="A558">
        <v>557</v>
      </c>
      <c r="B558">
        <v>24</v>
      </c>
      <c r="C558">
        <v>42</v>
      </c>
      <c r="D558">
        <v>32</v>
      </c>
      <c r="E558">
        <v>2</v>
      </c>
      <c r="F558">
        <v>0</v>
      </c>
      <c r="G558">
        <v>75</v>
      </c>
      <c r="H558">
        <v>3</v>
      </c>
      <c r="I558" t="s">
        <v>4</v>
      </c>
      <c r="J558">
        <v>2</v>
      </c>
      <c r="K558" t="s">
        <v>74</v>
      </c>
      <c r="L558" t="s">
        <v>27</v>
      </c>
      <c r="M558" s="1">
        <v>45506</v>
      </c>
      <c r="N558" t="s">
        <v>103</v>
      </c>
      <c r="O558" t="str">
        <f t="shared" si="16"/>
        <v>NO</v>
      </c>
      <c r="P558" t="str">
        <f t="shared" si="17"/>
        <v>NO</v>
      </c>
    </row>
    <row r="559" spans="1:16" x14ac:dyDescent="0.3">
      <c r="A559">
        <v>558</v>
      </c>
      <c r="B559">
        <v>20</v>
      </c>
      <c r="C559">
        <v>29</v>
      </c>
      <c r="D559">
        <v>18</v>
      </c>
      <c r="E559">
        <v>4</v>
      </c>
      <c r="F559">
        <v>0</v>
      </c>
      <c r="G559">
        <v>111.11</v>
      </c>
      <c r="H559">
        <v>3</v>
      </c>
      <c r="I559" t="s">
        <v>4</v>
      </c>
      <c r="J559">
        <v>2</v>
      </c>
      <c r="K559" t="s">
        <v>74</v>
      </c>
      <c r="L559" t="s">
        <v>27</v>
      </c>
      <c r="M559" s="1">
        <v>45511</v>
      </c>
      <c r="N559" t="s">
        <v>103</v>
      </c>
      <c r="O559" t="str">
        <f t="shared" si="16"/>
        <v>NO</v>
      </c>
      <c r="P559" t="str">
        <f t="shared" si="17"/>
        <v>NO</v>
      </c>
    </row>
    <row r="560" spans="1:16" ht="13.2" customHeight="1" x14ac:dyDescent="0.3">
      <c r="A560">
        <v>559</v>
      </c>
      <c r="B560">
        <v>6</v>
      </c>
      <c r="C560">
        <v>9</v>
      </c>
      <c r="D560">
        <v>6</v>
      </c>
      <c r="E560">
        <v>0</v>
      </c>
      <c r="F560">
        <v>0</v>
      </c>
      <c r="G560">
        <v>100</v>
      </c>
      <c r="H560">
        <v>4</v>
      </c>
      <c r="I560" t="s">
        <v>0</v>
      </c>
      <c r="J560">
        <v>1</v>
      </c>
      <c r="K560" t="s">
        <v>73</v>
      </c>
      <c r="L560" t="s">
        <v>30</v>
      </c>
      <c r="M560" s="1">
        <v>45554</v>
      </c>
      <c r="N560" t="s">
        <v>102</v>
      </c>
      <c r="O560" t="str">
        <f t="shared" si="16"/>
        <v>NO</v>
      </c>
      <c r="P560" t="str">
        <f t="shared" si="17"/>
        <v>NO</v>
      </c>
    </row>
    <row r="561" spans="1:16" x14ac:dyDescent="0.3">
      <c r="A561">
        <v>560</v>
      </c>
      <c r="B561">
        <v>17</v>
      </c>
      <c r="C561">
        <v>43</v>
      </c>
      <c r="D561">
        <v>37</v>
      </c>
      <c r="E561">
        <v>2</v>
      </c>
      <c r="F561">
        <v>0</v>
      </c>
      <c r="G561">
        <v>45.94</v>
      </c>
      <c r="H561">
        <v>4</v>
      </c>
      <c r="I561" t="s">
        <v>4</v>
      </c>
      <c r="J561">
        <v>3</v>
      </c>
      <c r="K561" t="s">
        <v>73</v>
      </c>
      <c r="L561" t="s">
        <v>30</v>
      </c>
      <c r="M561" s="1">
        <v>45554</v>
      </c>
      <c r="N561" t="s">
        <v>102</v>
      </c>
      <c r="O561" t="str">
        <f t="shared" si="16"/>
        <v>NO</v>
      </c>
      <c r="P561" t="str">
        <f t="shared" si="17"/>
        <v>NO</v>
      </c>
    </row>
    <row r="562" spans="1:16" x14ac:dyDescent="0.3">
      <c r="A562">
        <v>561</v>
      </c>
      <c r="B562">
        <v>29</v>
      </c>
      <c r="C562">
        <v>40</v>
      </c>
      <c r="D562">
        <v>37</v>
      </c>
      <c r="E562">
        <v>4</v>
      </c>
      <c r="F562">
        <v>0</v>
      </c>
      <c r="G562">
        <v>78.37</v>
      </c>
      <c r="H562">
        <v>4</v>
      </c>
      <c r="I562" t="s">
        <v>66</v>
      </c>
      <c r="J562">
        <v>4</v>
      </c>
      <c r="K562" t="s">
        <v>73</v>
      </c>
      <c r="L562" t="s">
        <v>45</v>
      </c>
      <c r="M562" s="1">
        <v>45562</v>
      </c>
      <c r="N562" t="s">
        <v>102</v>
      </c>
      <c r="O562" t="str">
        <f t="shared" si="16"/>
        <v>NO</v>
      </c>
      <c r="P562" t="str">
        <f t="shared" si="17"/>
        <v>NO</v>
      </c>
    </row>
    <row r="563" spans="1:16" x14ac:dyDescent="0.3">
      <c r="A563">
        <v>562</v>
      </c>
      <c r="B563">
        <v>0</v>
      </c>
      <c r="C563">
        <v>12</v>
      </c>
      <c r="D563">
        <v>9</v>
      </c>
      <c r="E563">
        <v>0</v>
      </c>
      <c r="F563">
        <v>0</v>
      </c>
      <c r="G563">
        <v>0</v>
      </c>
      <c r="H563">
        <v>3</v>
      </c>
      <c r="I563" t="s">
        <v>0</v>
      </c>
      <c r="J563">
        <v>1</v>
      </c>
      <c r="K563" t="s">
        <v>65</v>
      </c>
      <c r="L563" t="s">
        <v>12</v>
      </c>
      <c r="M563" s="1">
        <v>45581</v>
      </c>
      <c r="N563" t="s">
        <v>102</v>
      </c>
      <c r="O563" t="str">
        <f t="shared" si="16"/>
        <v>NO</v>
      </c>
      <c r="P563" t="str">
        <f t="shared" si="17"/>
        <v>NO</v>
      </c>
    </row>
    <row r="564" spans="1:16" x14ac:dyDescent="0.3">
      <c r="A564">
        <v>563</v>
      </c>
      <c r="B564">
        <v>70</v>
      </c>
      <c r="C564">
        <v>136</v>
      </c>
      <c r="D564">
        <v>102</v>
      </c>
      <c r="E564">
        <v>8</v>
      </c>
      <c r="F564">
        <v>1</v>
      </c>
      <c r="G564">
        <v>68.62</v>
      </c>
      <c r="H564">
        <v>3</v>
      </c>
      <c r="I564" t="s">
        <v>0</v>
      </c>
      <c r="J564">
        <v>3</v>
      </c>
      <c r="K564" t="s">
        <v>65</v>
      </c>
      <c r="L564" t="s">
        <v>12</v>
      </c>
      <c r="M564" s="1">
        <v>45581</v>
      </c>
      <c r="N564" t="s">
        <v>102</v>
      </c>
      <c r="O564" t="str">
        <f t="shared" si="16"/>
        <v>NO</v>
      </c>
      <c r="P564" t="str">
        <f t="shared" si="17"/>
        <v>YES</v>
      </c>
    </row>
    <row r="565" spans="1:16" x14ac:dyDescent="0.3">
      <c r="A565">
        <v>564</v>
      </c>
      <c r="B565">
        <v>1</v>
      </c>
      <c r="C565">
        <v>6</v>
      </c>
      <c r="D565">
        <v>9</v>
      </c>
      <c r="E565">
        <v>0</v>
      </c>
      <c r="F565">
        <v>0</v>
      </c>
      <c r="G565">
        <v>11.11</v>
      </c>
      <c r="H565">
        <v>4</v>
      </c>
      <c r="I565" t="s">
        <v>7</v>
      </c>
      <c r="J565">
        <v>2</v>
      </c>
      <c r="K565" t="s">
        <v>65</v>
      </c>
      <c r="L565" t="s">
        <v>29</v>
      </c>
      <c r="M565" s="1">
        <v>45589</v>
      </c>
      <c r="N565" t="s">
        <v>102</v>
      </c>
      <c r="O565" t="str">
        <f t="shared" si="16"/>
        <v>NO</v>
      </c>
      <c r="P565" t="str">
        <f t="shared" si="17"/>
        <v>NO</v>
      </c>
    </row>
    <row r="566" spans="1:16" x14ac:dyDescent="0.3">
      <c r="A566">
        <v>565</v>
      </c>
      <c r="B566">
        <v>17</v>
      </c>
      <c r="C566">
        <v>55</v>
      </c>
      <c r="D566">
        <v>40</v>
      </c>
      <c r="E566">
        <v>2</v>
      </c>
      <c r="F566">
        <v>0</v>
      </c>
      <c r="G566">
        <v>42.5</v>
      </c>
      <c r="H566">
        <v>4</v>
      </c>
      <c r="I566" t="s">
        <v>4</v>
      </c>
      <c r="J566">
        <v>4</v>
      </c>
      <c r="K566" t="s">
        <v>65</v>
      </c>
      <c r="L566" t="s">
        <v>29</v>
      </c>
      <c r="M566" s="1">
        <v>45589</v>
      </c>
      <c r="N566" t="s">
        <v>102</v>
      </c>
      <c r="O566" t="str">
        <f t="shared" si="16"/>
        <v>NO</v>
      </c>
      <c r="P566" t="str">
        <f t="shared" si="17"/>
        <v>NO</v>
      </c>
    </row>
    <row r="567" spans="1:16" x14ac:dyDescent="0.3">
      <c r="A567">
        <v>566</v>
      </c>
      <c r="B567">
        <v>4</v>
      </c>
      <c r="C567">
        <v>5</v>
      </c>
      <c r="D567">
        <v>6</v>
      </c>
      <c r="E567">
        <v>1</v>
      </c>
      <c r="F567">
        <v>0</v>
      </c>
      <c r="G567">
        <v>66.66</v>
      </c>
      <c r="H567">
        <v>5</v>
      </c>
      <c r="I567" t="s">
        <v>64</v>
      </c>
      <c r="J567">
        <v>2</v>
      </c>
      <c r="K567" t="s">
        <v>65</v>
      </c>
      <c r="L567" t="s">
        <v>20</v>
      </c>
      <c r="M567" s="1">
        <v>45597</v>
      </c>
      <c r="N567" t="s">
        <v>102</v>
      </c>
      <c r="O567" t="str">
        <f t="shared" si="16"/>
        <v>NO</v>
      </c>
      <c r="P567" t="str">
        <f t="shared" si="17"/>
        <v>NO</v>
      </c>
    </row>
    <row r="568" spans="1:16" x14ac:dyDescent="0.3">
      <c r="A568">
        <v>567</v>
      </c>
      <c r="B568">
        <v>5</v>
      </c>
      <c r="C568">
        <v>25</v>
      </c>
      <c r="D568">
        <v>12</v>
      </c>
      <c r="E568">
        <v>0</v>
      </c>
      <c r="F568">
        <v>0</v>
      </c>
      <c r="G568">
        <v>41.66</v>
      </c>
      <c r="H568">
        <v>4</v>
      </c>
      <c r="I568" t="s">
        <v>0</v>
      </c>
      <c r="J568">
        <v>1</v>
      </c>
      <c r="K568" t="s">
        <v>63</v>
      </c>
      <c r="L568" t="s">
        <v>50</v>
      </c>
      <c r="M568" s="1">
        <v>45618</v>
      </c>
      <c r="N568" t="s">
        <v>102</v>
      </c>
      <c r="O568" t="str">
        <f t="shared" si="16"/>
        <v>NO</v>
      </c>
      <c r="P568" t="str">
        <f t="shared" si="17"/>
        <v>NO</v>
      </c>
    </row>
    <row r="569" spans="1:16" x14ac:dyDescent="0.3">
      <c r="A569">
        <v>568</v>
      </c>
      <c r="B569">
        <v>100</v>
      </c>
      <c r="C569">
        <v>226</v>
      </c>
      <c r="D569">
        <v>143</v>
      </c>
      <c r="E569">
        <v>8</v>
      </c>
      <c r="F569">
        <v>2</v>
      </c>
      <c r="G569">
        <v>69.930000000000007</v>
      </c>
      <c r="H569">
        <v>4</v>
      </c>
      <c r="I569" t="s">
        <v>66</v>
      </c>
      <c r="J569">
        <v>3</v>
      </c>
      <c r="K569" t="s">
        <v>63</v>
      </c>
      <c r="L569" t="s">
        <v>50</v>
      </c>
      <c r="M569" s="1">
        <v>45618</v>
      </c>
      <c r="N569" t="s">
        <v>102</v>
      </c>
      <c r="O569" t="str">
        <f t="shared" si="16"/>
        <v>NO</v>
      </c>
      <c r="P569" t="str">
        <f t="shared" si="17"/>
        <v>NO</v>
      </c>
    </row>
    <row r="570" spans="1:16" x14ac:dyDescent="0.3">
      <c r="A570">
        <v>569</v>
      </c>
      <c r="B570">
        <v>7</v>
      </c>
      <c r="C570">
        <v>8</v>
      </c>
      <c r="D570">
        <v>8</v>
      </c>
      <c r="E570">
        <v>1</v>
      </c>
      <c r="F570">
        <v>0</v>
      </c>
      <c r="G570">
        <v>87.5</v>
      </c>
      <c r="H570">
        <v>4</v>
      </c>
      <c r="I570" t="s">
        <v>0</v>
      </c>
      <c r="J570">
        <v>1</v>
      </c>
      <c r="K570" t="s">
        <v>63</v>
      </c>
      <c r="L570" t="s">
        <v>25</v>
      </c>
      <c r="M570" s="1">
        <v>45632</v>
      </c>
      <c r="N570" t="s">
        <v>102</v>
      </c>
      <c r="O570" t="str">
        <f t="shared" si="16"/>
        <v>NO</v>
      </c>
      <c r="P570" t="str">
        <f t="shared" si="17"/>
        <v>NO</v>
      </c>
    </row>
    <row r="571" spans="1:16" x14ac:dyDescent="0.3">
      <c r="A571">
        <v>570</v>
      </c>
      <c r="B571">
        <v>11</v>
      </c>
      <c r="C571">
        <v>31</v>
      </c>
      <c r="D571">
        <v>21</v>
      </c>
      <c r="E571">
        <v>1</v>
      </c>
      <c r="F571">
        <v>0</v>
      </c>
      <c r="G571">
        <v>52.38</v>
      </c>
      <c r="H571">
        <v>4</v>
      </c>
      <c r="I571" t="s">
        <v>0</v>
      </c>
      <c r="J571">
        <v>3</v>
      </c>
      <c r="K571" t="s">
        <v>63</v>
      </c>
      <c r="L571" t="s">
        <v>25</v>
      </c>
      <c r="M571" s="1">
        <v>45632</v>
      </c>
      <c r="N571" t="s">
        <v>102</v>
      </c>
      <c r="O571" t="str">
        <f t="shared" si="16"/>
        <v>NO</v>
      </c>
      <c r="P571" t="str">
        <f t="shared" si="17"/>
        <v>NO</v>
      </c>
    </row>
    <row r="572" spans="1:16" x14ac:dyDescent="0.3">
      <c r="A572">
        <v>571</v>
      </c>
      <c r="B572">
        <v>3</v>
      </c>
      <c r="C572">
        <v>25</v>
      </c>
      <c r="D572">
        <v>16</v>
      </c>
      <c r="E572">
        <v>0</v>
      </c>
      <c r="F572">
        <v>0</v>
      </c>
      <c r="G572">
        <v>18.75</v>
      </c>
      <c r="H572">
        <v>4</v>
      </c>
      <c r="I572" t="s">
        <v>0</v>
      </c>
      <c r="J572">
        <v>2</v>
      </c>
      <c r="K572" t="s">
        <v>63</v>
      </c>
      <c r="L572" t="s">
        <v>26</v>
      </c>
      <c r="M572" s="1">
        <v>45640</v>
      </c>
      <c r="N572" t="s">
        <v>102</v>
      </c>
      <c r="O572" t="str">
        <f t="shared" si="16"/>
        <v>NO</v>
      </c>
      <c r="P572" t="str">
        <f t="shared" si="17"/>
        <v>NO</v>
      </c>
    </row>
    <row r="573" spans="1:16" x14ac:dyDescent="0.3">
      <c r="A573">
        <v>572</v>
      </c>
      <c r="B573">
        <v>36</v>
      </c>
      <c r="C573">
        <v>125</v>
      </c>
      <c r="D573">
        <v>86</v>
      </c>
      <c r="E573">
        <v>4</v>
      </c>
      <c r="F573">
        <v>0</v>
      </c>
      <c r="G573">
        <v>41.86</v>
      </c>
      <c r="H573">
        <v>4</v>
      </c>
      <c r="I573" t="s">
        <v>0</v>
      </c>
      <c r="J573">
        <v>2</v>
      </c>
      <c r="K573" t="s">
        <v>63</v>
      </c>
      <c r="L573" t="s">
        <v>22</v>
      </c>
      <c r="M573" s="1">
        <v>45652</v>
      </c>
      <c r="N573" t="s">
        <v>102</v>
      </c>
      <c r="O573" t="str">
        <f t="shared" si="16"/>
        <v>NO</v>
      </c>
      <c r="P573" t="str">
        <f t="shared" si="17"/>
        <v>NO</v>
      </c>
    </row>
    <row r="574" spans="1:16" x14ac:dyDescent="0.3">
      <c r="A574">
        <v>573</v>
      </c>
      <c r="B574">
        <v>5</v>
      </c>
      <c r="C574">
        <v>40</v>
      </c>
      <c r="D574">
        <v>29</v>
      </c>
      <c r="E574">
        <v>0</v>
      </c>
      <c r="F574">
        <v>0</v>
      </c>
      <c r="G574">
        <v>17.239999999999998</v>
      </c>
      <c r="H574">
        <v>4</v>
      </c>
      <c r="I574" t="s">
        <v>0</v>
      </c>
      <c r="J574">
        <v>4</v>
      </c>
      <c r="K574" t="s">
        <v>63</v>
      </c>
      <c r="L574" t="s">
        <v>22</v>
      </c>
      <c r="M574" s="1">
        <v>45652</v>
      </c>
      <c r="N574" t="s">
        <v>102</v>
      </c>
      <c r="O574" t="str">
        <f t="shared" si="16"/>
        <v>NO</v>
      </c>
      <c r="P574" t="str">
        <f t="shared" si="17"/>
        <v>NO</v>
      </c>
    </row>
    <row r="575" spans="1:16" x14ac:dyDescent="0.3">
      <c r="A575">
        <v>574</v>
      </c>
      <c r="B575">
        <v>17</v>
      </c>
      <c r="C575">
        <v>101</v>
      </c>
      <c r="D575">
        <v>69</v>
      </c>
      <c r="E575">
        <v>0</v>
      </c>
      <c r="F575">
        <v>0</v>
      </c>
      <c r="G575">
        <v>24.63</v>
      </c>
      <c r="H575">
        <v>4</v>
      </c>
      <c r="I575" t="s">
        <v>0</v>
      </c>
      <c r="J575">
        <v>1</v>
      </c>
      <c r="K575" t="s">
        <v>63</v>
      </c>
      <c r="L575" t="s">
        <v>23</v>
      </c>
      <c r="M575" s="1">
        <v>45660</v>
      </c>
      <c r="N575" t="s">
        <v>102</v>
      </c>
      <c r="O575" t="str">
        <f t="shared" si="16"/>
        <v>NO</v>
      </c>
      <c r="P575" t="str">
        <f t="shared" si="17"/>
        <v>NO</v>
      </c>
    </row>
    <row r="576" spans="1:16" x14ac:dyDescent="0.3">
      <c r="A576">
        <v>575</v>
      </c>
      <c r="B576">
        <v>6</v>
      </c>
      <c r="C576">
        <v>14</v>
      </c>
      <c r="D576">
        <v>12</v>
      </c>
      <c r="E576">
        <v>1</v>
      </c>
      <c r="F576">
        <v>0</v>
      </c>
      <c r="G576">
        <v>50</v>
      </c>
      <c r="H576">
        <v>4</v>
      </c>
      <c r="I576" t="s">
        <v>0</v>
      </c>
      <c r="J576">
        <v>3</v>
      </c>
      <c r="K576" t="s">
        <v>63</v>
      </c>
      <c r="L576" t="s">
        <v>23</v>
      </c>
      <c r="M576" s="1">
        <v>45660</v>
      </c>
      <c r="N576" t="s">
        <v>102</v>
      </c>
      <c r="O576" t="str">
        <f t="shared" si="16"/>
        <v>NO</v>
      </c>
      <c r="P576" t="str">
        <f t="shared" si="17"/>
        <v>NO</v>
      </c>
    </row>
    <row r="577" spans="1:16" x14ac:dyDescent="0.3">
      <c r="A577">
        <v>576</v>
      </c>
      <c r="B577">
        <v>52</v>
      </c>
      <c r="C577">
        <v>74</v>
      </c>
      <c r="D577">
        <v>55</v>
      </c>
      <c r="E577">
        <v>7</v>
      </c>
      <c r="F577">
        <v>1</v>
      </c>
      <c r="G577">
        <v>94.54</v>
      </c>
      <c r="H577">
        <v>3</v>
      </c>
      <c r="I577" t="s">
        <v>0</v>
      </c>
      <c r="J577">
        <v>1</v>
      </c>
      <c r="K577" t="s">
        <v>67</v>
      </c>
      <c r="L577" t="s">
        <v>14</v>
      </c>
      <c r="M577" s="1">
        <v>45700</v>
      </c>
      <c r="N577" t="s">
        <v>103</v>
      </c>
      <c r="O577" t="str">
        <f t="shared" si="16"/>
        <v>NO</v>
      </c>
      <c r="P577" t="str">
        <f t="shared" si="17"/>
        <v>YES</v>
      </c>
    </row>
    <row r="578" spans="1:16" x14ac:dyDescent="0.3">
      <c r="A578">
        <v>577</v>
      </c>
      <c r="B578">
        <v>22</v>
      </c>
      <c r="C578">
        <v>40</v>
      </c>
      <c r="D578">
        <v>38</v>
      </c>
      <c r="E578">
        <v>1</v>
      </c>
      <c r="F578">
        <v>0</v>
      </c>
      <c r="G578">
        <v>57.89</v>
      </c>
      <c r="H578">
        <v>3</v>
      </c>
      <c r="I578" t="s">
        <v>0</v>
      </c>
      <c r="J578">
        <v>2</v>
      </c>
      <c r="K578" t="s">
        <v>73</v>
      </c>
      <c r="L578" t="s">
        <v>51</v>
      </c>
      <c r="M578" s="1">
        <v>45708</v>
      </c>
      <c r="N578" t="s">
        <v>103</v>
      </c>
      <c r="O578" t="str">
        <f t="shared" si="16"/>
        <v>NO</v>
      </c>
      <c r="P578" t="str">
        <f t="shared" si="17"/>
        <v>NO</v>
      </c>
    </row>
    <row r="579" spans="1:16" x14ac:dyDescent="0.3">
      <c r="A579">
        <v>578</v>
      </c>
      <c r="B579">
        <v>100</v>
      </c>
      <c r="C579">
        <v>151</v>
      </c>
      <c r="D579">
        <v>111</v>
      </c>
      <c r="E579">
        <v>7</v>
      </c>
      <c r="F579">
        <v>0</v>
      </c>
      <c r="G579">
        <v>90.09</v>
      </c>
      <c r="H579">
        <v>3</v>
      </c>
      <c r="I579" t="s">
        <v>66</v>
      </c>
      <c r="J579">
        <v>2</v>
      </c>
      <c r="K579" t="s">
        <v>84</v>
      </c>
      <c r="L579" t="s">
        <v>51</v>
      </c>
      <c r="M579" s="1">
        <v>45711</v>
      </c>
      <c r="N579" t="s">
        <v>103</v>
      </c>
      <c r="O579" t="str">
        <f t="shared" ref="O579:O591" si="18">IF(B579&gt;100,"YES","NO")</f>
        <v>NO</v>
      </c>
      <c r="P579" t="str">
        <f t="shared" ref="P579:P591" si="19">IF(AND(B579&gt;=50,B579&lt;100),"YES","NO")</f>
        <v>NO</v>
      </c>
    </row>
    <row r="580" spans="1:16" x14ac:dyDescent="0.3">
      <c r="A580">
        <v>579</v>
      </c>
      <c r="B580">
        <v>11</v>
      </c>
      <c r="C580">
        <v>18</v>
      </c>
      <c r="D580">
        <v>14</v>
      </c>
      <c r="E580">
        <v>2</v>
      </c>
      <c r="F580">
        <v>0</v>
      </c>
      <c r="G580">
        <v>78.569999999999993</v>
      </c>
      <c r="H580">
        <v>3</v>
      </c>
      <c r="I580" t="s">
        <v>0</v>
      </c>
      <c r="J580">
        <v>1</v>
      </c>
      <c r="K580" t="s">
        <v>65</v>
      </c>
      <c r="L580" t="s">
        <v>51</v>
      </c>
      <c r="M580" s="1">
        <v>45718</v>
      </c>
      <c r="N580" t="s">
        <v>103</v>
      </c>
      <c r="O580" t="str">
        <f t="shared" si="18"/>
        <v>NO</v>
      </c>
      <c r="P580" t="str">
        <f t="shared" si="19"/>
        <v>NO</v>
      </c>
    </row>
    <row r="581" spans="1:16" x14ac:dyDescent="0.3">
      <c r="A581">
        <v>580</v>
      </c>
      <c r="B581">
        <v>84</v>
      </c>
      <c r="C581">
        <v>135</v>
      </c>
      <c r="D581">
        <v>98</v>
      </c>
      <c r="E581">
        <v>5</v>
      </c>
      <c r="F581">
        <v>0</v>
      </c>
      <c r="G581">
        <v>85.71</v>
      </c>
      <c r="H581">
        <v>3</v>
      </c>
      <c r="I581" t="s">
        <v>0</v>
      </c>
      <c r="J581">
        <v>2</v>
      </c>
      <c r="K581" t="s">
        <v>63</v>
      </c>
      <c r="L581" t="s">
        <v>51</v>
      </c>
      <c r="M581" s="1">
        <v>45720</v>
      </c>
      <c r="N581" t="s">
        <v>103</v>
      </c>
      <c r="O581" t="str">
        <f t="shared" si="18"/>
        <v>NO</v>
      </c>
      <c r="P581" t="str">
        <f t="shared" si="19"/>
        <v>YES</v>
      </c>
    </row>
    <row r="582" spans="1:16" x14ac:dyDescent="0.3">
      <c r="A582">
        <v>581</v>
      </c>
      <c r="B582">
        <v>1</v>
      </c>
      <c r="C582">
        <v>4</v>
      </c>
      <c r="D582">
        <v>2</v>
      </c>
      <c r="E582">
        <v>0</v>
      </c>
      <c r="F582">
        <v>0</v>
      </c>
      <c r="G582">
        <v>50</v>
      </c>
      <c r="H582">
        <v>3</v>
      </c>
      <c r="I582" t="s">
        <v>4</v>
      </c>
      <c r="J582">
        <v>2</v>
      </c>
      <c r="K582" t="s">
        <v>65</v>
      </c>
      <c r="L582" t="s">
        <v>51</v>
      </c>
      <c r="M582" s="1">
        <v>45725</v>
      </c>
      <c r="N582" t="s">
        <v>103</v>
      </c>
      <c r="O582" t="str">
        <f t="shared" si="18"/>
        <v>NO</v>
      </c>
      <c r="P582" t="str">
        <f t="shared" si="19"/>
        <v>NO</v>
      </c>
    </row>
    <row r="583" spans="1:16" x14ac:dyDescent="0.3">
      <c r="A583">
        <v>582</v>
      </c>
      <c r="B583">
        <v>0</v>
      </c>
      <c r="C583">
        <v>12</v>
      </c>
      <c r="D583">
        <v>8</v>
      </c>
      <c r="E583">
        <v>0</v>
      </c>
      <c r="F583">
        <v>0</v>
      </c>
      <c r="G583">
        <v>0</v>
      </c>
      <c r="H583">
        <v>3</v>
      </c>
      <c r="I583" t="s">
        <v>0</v>
      </c>
      <c r="J583">
        <v>1</v>
      </c>
      <c r="K583" t="s">
        <v>63</v>
      </c>
      <c r="L583" t="s">
        <v>50</v>
      </c>
      <c r="M583" s="1">
        <v>45949</v>
      </c>
      <c r="N583" t="s">
        <v>103</v>
      </c>
      <c r="O583" t="str">
        <f t="shared" si="18"/>
        <v>NO</v>
      </c>
      <c r="P583" t="str">
        <f t="shared" si="19"/>
        <v>NO</v>
      </c>
    </row>
    <row r="584" spans="1:16" x14ac:dyDescent="0.3">
      <c r="A584">
        <v>583</v>
      </c>
      <c r="B584">
        <v>0</v>
      </c>
      <c r="C584">
        <v>3</v>
      </c>
      <c r="D584">
        <v>4</v>
      </c>
      <c r="E584">
        <v>0</v>
      </c>
      <c r="F584">
        <v>0</v>
      </c>
      <c r="G584">
        <v>0</v>
      </c>
      <c r="H584">
        <v>3</v>
      </c>
      <c r="I584" t="s">
        <v>4</v>
      </c>
      <c r="J584">
        <v>1</v>
      </c>
      <c r="K584" t="s">
        <v>63</v>
      </c>
      <c r="L584" t="s">
        <v>25</v>
      </c>
      <c r="M584" s="1">
        <v>45953</v>
      </c>
      <c r="N584" t="s">
        <v>103</v>
      </c>
      <c r="O584" t="str">
        <f t="shared" si="18"/>
        <v>NO</v>
      </c>
      <c r="P584" t="str">
        <f t="shared" si="19"/>
        <v>NO</v>
      </c>
    </row>
    <row r="585" spans="1:16" x14ac:dyDescent="0.3">
      <c r="A585">
        <v>584</v>
      </c>
      <c r="B585">
        <v>74</v>
      </c>
      <c r="C585">
        <v>111</v>
      </c>
      <c r="D585">
        <v>81</v>
      </c>
      <c r="E585">
        <v>7</v>
      </c>
      <c r="F585">
        <v>0</v>
      </c>
      <c r="G585">
        <v>91.35</v>
      </c>
      <c r="H585">
        <v>3</v>
      </c>
      <c r="I585" t="s">
        <v>66</v>
      </c>
      <c r="J585">
        <v>2</v>
      </c>
      <c r="K585" t="s">
        <v>63</v>
      </c>
      <c r="L585" t="s">
        <v>23</v>
      </c>
      <c r="M585" s="1">
        <v>45955</v>
      </c>
      <c r="N585" t="s">
        <v>103</v>
      </c>
      <c r="O585" t="str">
        <f t="shared" si="18"/>
        <v>NO</v>
      </c>
      <c r="P585" t="str">
        <f t="shared" si="19"/>
        <v>YES</v>
      </c>
    </row>
    <row r="586" spans="1:16" x14ac:dyDescent="0.3">
      <c r="A586">
        <v>585</v>
      </c>
      <c r="B586">
        <v>135</v>
      </c>
      <c r="C586">
        <v>173</v>
      </c>
      <c r="D586">
        <v>120</v>
      </c>
      <c r="E586">
        <v>11</v>
      </c>
      <c r="F586">
        <v>7</v>
      </c>
      <c r="G586">
        <v>112.5</v>
      </c>
      <c r="H586">
        <v>3</v>
      </c>
      <c r="I586" t="s">
        <v>0</v>
      </c>
      <c r="J586">
        <v>1</v>
      </c>
      <c r="K586" t="s">
        <v>68</v>
      </c>
      <c r="L586" t="s">
        <v>33</v>
      </c>
      <c r="M586" s="1">
        <v>45991</v>
      </c>
      <c r="N586" t="s">
        <v>103</v>
      </c>
      <c r="O586" t="str">
        <f t="shared" si="18"/>
        <v>YES</v>
      </c>
      <c r="P586" t="str">
        <f t="shared" si="19"/>
        <v>NO</v>
      </c>
    </row>
    <row r="587" spans="1:16" x14ac:dyDescent="0.3">
      <c r="A587">
        <v>586</v>
      </c>
      <c r="B587">
        <v>102</v>
      </c>
      <c r="C587">
        <v>143</v>
      </c>
      <c r="D587">
        <v>93</v>
      </c>
      <c r="E587">
        <v>7</v>
      </c>
      <c r="F587">
        <v>2</v>
      </c>
      <c r="G587">
        <v>109.67</v>
      </c>
      <c r="H587">
        <v>3</v>
      </c>
      <c r="I587" t="s">
        <v>0</v>
      </c>
      <c r="J587">
        <v>1</v>
      </c>
      <c r="K587" t="s">
        <v>68</v>
      </c>
      <c r="L587" t="s">
        <v>101</v>
      </c>
      <c r="M587" s="1">
        <v>45994</v>
      </c>
      <c r="N587" t="s">
        <v>103</v>
      </c>
      <c r="O587" t="str">
        <f t="shared" si="18"/>
        <v>YES</v>
      </c>
      <c r="P587" t="str">
        <f t="shared" si="19"/>
        <v>NO</v>
      </c>
    </row>
    <row r="588" spans="1:16" x14ac:dyDescent="0.3">
      <c r="A588">
        <v>587</v>
      </c>
      <c r="B588">
        <v>65</v>
      </c>
      <c r="C588">
        <v>57</v>
      </c>
      <c r="D588">
        <v>45</v>
      </c>
      <c r="E588">
        <v>6</v>
      </c>
      <c r="F588">
        <v>3</v>
      </c>
      <c r="G588">
        <v>144.44</v>
      </c>
      <c r="H588">
        <v>3</v>
      </c>
      <c r="I588" t="s">
        <v>66</v>
      </c>
      <c r="J588">
        <v>2</v>
      </c>
      <c r="K588" t="s">
        <v>68</v>
      </c>
      <c r="L588" t="s">
        <v>11</v>
      </c>
      <c r="M588" s="1">
        <v>45997</v>
      </c>
      <c r="N588" t="s">
        <v>103</v>
      </c>
      <c r="O588" t="str">
        <f t="shared" si="18"/>
        <v>NO</v>
      </c>
      <c r="P588" t="str">
        <f t="shared" si="19"/>
        <v>YES</v>
      </c>
    </row>
    <row r="589" spans="1:16" x14ac:dyDescent="0.3">
      <c r="A589">
        <v>588</v>
      </c>
      <c r="B589">
        <v>93</v>
      </c>
      <c r="C589">
        <v>123</v>
      </c>
      <c r="D589">
        <v>91</v>
      </c>
      <c r="E589">
        <v>8</v>
      </c>
      <c r="F589">
        <v>1</v>
      </c>
      <c r="G589">
        <v>102.19</v>
      </c>
      <c r="H589">
        <v>3</v>
      </c>
      <c r="I589" t="s">
        <v>0</v>
      </c>
      <c r="J589">
        <v>2</v>
      </c>
      <c r="K589" t="s">
        <v>65</v>
      </c>
      <c r="L589" t="s">
        <v>3</v>
      </c>
      <c r="M589" s="1">
        <v>46033</v>
      </c>
      <c r="N589" t="s">
        <v>103</v>
      </c>
      <c r="O589" t="str">
        <f t="shared" si="18"/>
        <v>NO</v>
      </c>
      <c r="P589" t="str">
        <f t="shared" si="19"/>
        <v>YES</v>
      </c>
    </row>
    <row r="590" spans="1:16" x14ac:dyDescent="0.3">
      <c r="A590">
        <v>589</v>
      </c>
      <c r="B590">
        <v>23</v>
      </c>
      <c r="C590">
        <v>43</v>
      </c>
      <c r="D590">
        <v>29</v>
      </c>
      <c r="E590">
        <v>2</v>
      </c>
      <c r="F590">
        <v>0</v>
      </c>
      <c r="G590">
        <v>79.31</v>
      </c>
      <c r="H590">
        <v>3</v>
      </c>
      <c r="I590" t="s">
        <v>7</v>
      </c>
      <c r="J590">
        <v>1</v>
      </c>
      <c r="K590" t="s">
        <v>65</v>
      </c>
      <c r="L590" t="s">
        <v>31</v>
      </c>
      <c r="M590" s="1">
        <v>46036</v>
      </c>
      <c r="N590" t="s">
        <v>103</v>
      </c>
      <c r="O590" t="str">
        <f t="shared" si="18"/>
        <v>NO</v>
      </c>
      <c r="P590" t="str">
        <f t="shared" si="19"/>
        <v>NO</v>
      </c>
    </row>
    <row r="591" spans="1:16" x14ac:dyDescent="0.3">
      <c r="A591">
        <v>590</v>
      </c>
      <c r="B591">
        <v>124</v>
      </c>
      <c r="C591">
        <v>174</v>
      </c>
      <c r="D591">
        <v>108</v>
      </c>
      <c r="E591">
        <v>10</v>
      </c>
      <c r="F591">
        <v>3</v>
      </c>
      <c r="G591">
        <v>114.81</v>
      </c>
      <c r="H591">
        <v>3</v>
      </c>
      <c r="I591" t="s">
        <v>0</v>
      </c>
      <c r="J591">
        <v>2</v>
      </c>
      <c r="K591" t="s">
        <v>65</v>
      </c>
      <c r="L591" t="s">
        <v>46</v>
      </c>
      <c r="M591" s="1">
        <v>46040</v>
      </c>
      <c r="N591" t="s">
        <v>103</v>
      </c>
      <c r="O591" t="str">
        <f t="shared" si="18"/>
        <v>YES</v>
      </c>
      <c r="P591" t="str">
        <f t="shared" si="19"/>
        <v>NO</v>
      </c>
    </row>
  </sheetData>
  <sortState xmlns:xlrd2="http://schemas.microsoft.com/office/spreadsheetml/2017/richdata2" ref="B2:P593">
    <sortCondition ref="M1:M593"/>
  </sortState>
  <phoneticPr fontId="1"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16996-3B97-4655-B5AB-D42C989F1112}">
  <dimension ref="A1"/>
  <sheetViews>
    <sheetView tabSelected="1" zoomScale="57" zoomScaleNormal="55" workbookViewId="0">
      <selection activeCell="BG54" sqref="BG5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A97B1-B0CB-4600-ACF3-5BD8F33BBC8A}">
  <dimension ref="A2:P28"/>
  <sheetViews>
    <sheetView topLeftCell="E1" zoomScale="60" workbookViewId="0">
      <selection activeCell="L28" sqref="L28"/>
    </sheetView>
  </sheetViews>
  <sheetFormatPr defaultRowHeight="14.4" x14ac:dyDescent="0.3"/>
  <cols>
    <col min="1" max="1" width="18.21875" bestFit="1" customWidth="1"/>
    <col min="2" max="2" width="17.33203125" bestFit="1" customWidth="1"/>
    <col min="3" max="3" width="12.109375" bestFit="1" customWidth="1"/>
    <col min="4" max="4" width="18.21875" bestFit="1" customWidth="1"/>
    <col min="5" max="5" width="18.109375" bestFit="1" customWidth="1"/>
    <col min="6" max="6" width="19" bestFit="1" customWidth="1"/>
    <col min="7" max="7" width="20.44140625" bestFit="1" customWidth="1"/>
    <col min="8" max="8" width="18.21875" bestFit="1" customWidth="1"/>
    <col min="9" max="9" width="17.33203125" bestFit="1" customWidth="1"/>
    <col min="11" max="11" width="18.21875" bestFit="1" customWidth="1"/>
    <col min="12" max="12" width="31" bestFit="1" customWidth="1"/>
    <col min="14" max="15" width="18.21875" bestFit="1" customWidth="1"/>
    <col min="16" max="16" width="19.21875" bestFit="1" customWidth="1"/>
  </cols>
  <sheetData>
    <row r="2" spans="1:16" x14ac:dyDescent="0.3">
      <c r="A2" s="2" t="s">
        <v>122</v>
      </c>
      <c r="B2" t="s">
        <v>121</v>
      </c>
      <c r="D2" s="2" t="s">
        <v>122</v>
      </c>
      <c r="E2" t="s">
        <v>126</v>
      </c>
      <c r="F2" t="s">
        <v>127</v>
      </c>
      <c r="H2" s="2" t="s">
        <v>122</v>
      </c>
      <c r="I2" t="s">
        <v>121</v>
      </c>
      <c r="K2" s="2" t="s">
        <v>122</v>
      </c>
      <c r="L2" t="s">
        <v>146</v>
      </c>
      <c r="N2" s="2" t="s">
        <v>122</v>
      </c>
      <c r="O2" t="s">
        <v>124</v>
      </c>
    </row>
    <row r="3" spans="1:16" x14ac:dyDescent="0.3">
      <c r="A3" s="3" t="s">
        <v>103</v>
      </c>
      <c r="B3" s="4">
        <v>14014</v>
      </c>
      <c r="D3" s="3" t="s">
        <v>83</v>
      </c>
      <c r="E3" s="4">
        <v>9</v>
      </c>
      <c r="F3" s="4">
        <v>32</v>
      </c>
      <c r="H3" s="3" t="s">
        <v>147</v>
      </c>
      <c r="I3" s="4">
        <v>105</v>
      </c>
      <c r="K3" s="3" t="s">
        <v>103</v>
      </c>
      <c r="L3" s="4">
        <v>20059</v>
      </c>
      <c r="N3" s="3" t="s">
        <v>103</v>
      </c>
      <c r="O3" s="4">
        <v>278</v>
      </c>
    </row>
    <row r="4" spans="1:16" x14ac:dyDescent="0.3">
      <c r="A4" s="3" t="s">
        <v>104</v>
      </c>
      <c r="B4" s="4">
        <v>4188</v>
      </c>
      <c r="D4" s="3" t="s">
        <v>63</v>
      </c>
      <c r="E4" s="4">
        <v>57</v>
      </c>
      <c r="F4" s="4">
        <v>503</v>
      </c>
      <c r="H4" s="3" t="s">
        <v>128</v>
      </c>
      <c r="I4" s="4">
        <v>271</v>
      </c>
      <c r="K4" s="3" t="s">
        <v>104</v>
      </c>
      <c r="L4" s="4">
        <v>4318</v>
      </c>
      <c r="N4" s="3" t="s">
        <v>104</v>
      </c>
      <c r="O4" s="4">
        <v>117</v>
      </c>
    </row>
    <row r="5" spans="1:16" x14ac:dyDescent="0.3">
      <c r="A5" s="3" t="s">
        <v>102</v>
      </c>
      <c r="B5" s="4">
        <v>8776</v>
      </c>
      <c r="D5" s="3" t="s">
        <v>73</v>
      </c>
      <c r="E5" s="4">
        <v>18</v>
      </c>
      <c r="F5" s="4">
        <v>160</v>
      </c>
      <c r="H5" s="3" t="s">
        <v>129</v>
      </c>
      <c r="I5" s="4">
        <v>842</v>
      </c>
      <c r="K5" s="3" t="s">
        <v>102</v>
      </c>
      <c r="L5" s="4">
        <v>21357</v>
      </c>
      <c r="N5" s="3" t="s">
        <v>102</v>
      </c>
      <c r="O5" s="4">
        <v>195</v>
      </c>
    </row>
    <row r="6" spans="1:16" x14ac:dyDescent="0.3">
      <c r="A6" s="3" t="s">
        <v>123</v>
      </c>
      <c r="B6" s="4">
        <v>26978</v>
      </c>
      <c r="D6" s="3" t="s">
        <v>67</v>
      </c>
      <c r="E6" s="4">
        <v>34</v>
      </c>
      <c r="F6" s="4">
        <v>419</v>
      </c>
      <c r="H6" s="3" t="s">
        <v>130</v>
      </c>
      <c r="I6" s="4">
        <v>1557</v>
      </c>
      <c r="K6" s="3" t="s">
        <v>123</v>
      </c>
      <c r="L6" s="4">
        <v>45734</v>
      </c>
      <c r="N6" s="3" t="s">
        <v>123</v>
      </c>
      <c r="O6" s="4">
        <v>590</v>
      </c>
    </row>
    <row r="7" spans="1:16" x14ac:dyDescent="0.3">
      <c r="D7" s="3" t="s">
        <v>90</v>
      </c>
      <c r="E7" s="4">
        <v>3</v>
      </c>
      <c r="F7" s="4">
        <v>1</v>
      </c>
      <c r="H7" s="3" t="s">
        <v>131</v>
      </c>
      <c r="I7" s="4">
        <v>2186</v>
      </c>
    </row>
    <row r="8" spans="1:16" x14ac:dyDescent="0.3">
      <c r="D8" s="3" t="s">
        <v>88</v>
      </c>
      <c r="E8" s="4">
        <v>1</v>
      </c>
      <c r="F8" s="4">
        <v>8</v>
      </c>
      <c r="H8" s="3" t="s">
        <v>132</v>
      </c>
      <c r="I8" s="4">
        <v>1778</v>
      </c>
    </row>
    <row r="9" spans="1:16" x14ac:dyDescent="0.3">
      <c r="A9" s="2" t="s">
        <v>122</v>
      </c>
      <c r="B9" t="s">
        <v>121</v>
      </c>
      <c r="D9" s="3" t="s">
        <v>91</v>
      </c>
      <c r="E9" s="4">
        <v>3</v>
      </c>
      <c r="F9" s="4">
        <v>10</v>
      </c>
      <c r="H9" s="3" t="s">
        <v>133</v>
      </c>
      <c r="I9" s="4">
        <v>1925</v>
      </c>
    </row>
    <row r="10" spans="1:16" x14ac:dyDescent="0.3">
      <c r="A10" s="3" t="s">
        <v>83</v>
      </c>
      <c r="B10" s="4">
        <v>347</v>
      </c>
      <c r="D10" s="3" t="s">
        <v>65</v>
      </c>
      <c r="E10" s="4">
        <v>38</v>
      </c>
      <c r="F10" s="4">
        <v>294</v>
      </c>
      <c r="H10" s="3" t="s">
        <v>134</v>
      </c>
      <c r="I10" s="4">
        <v>1181</v>
      </c>
    </row>
    <row r="11" spans="1:16" x14ac:dyDescent="0.3">
      <c r="A11" s="3" t="s">
        <v>63</v>
      </c>
      <c r="B11" s="4">
        <v>5399</v>
      </c>
      <c r="D11" s="3" t="s">
        <v>84</v>
      </c>
      <c r="E11" s="4">
        <v>18</v>
      </c>
      <c r="F11" s="4">
        <v>118</v>
      </c>
      <c r="H11" s="3" t="s">
        <v>135</v>
      </c>
      <c r="I11" s="4">
        <v>2569</v>
      </c>
      <c r="L11">
        <f>GETPIVOTDATA("RUNS",$A$2)</f>
        <v>26978</v>
      </c>
      <c r="O11" s="2" t="s">
        <v>122</v>
      </c>
      <c r="P11" t="s">
        <v>125</v>
      </c>
    </row>
    <row r="12" spans="1:16" x14ac:dyDescent="0.3">
      <c r="A12" s="3" t="s">
        <v>73</v>
      </c>
      <c r="B12" s="4">
        <v>1648</v>
      </c>
      <c r="D12" s="3" t="s">
        <v>89</v>
      </c>
      <c r="E12" s="4">
        <v>0</v>
      </c>
      <c r="F12" s="4">
        <v>0</v>
      </c>
      <c r="H12" s="3" t="s">
        <v>136</v>
      </c>
      <c r="I12" s="4">
        <v>2818</v>
      </c>
      <c r="L12">
        <f>GETPIVOTDATA("Sum of SIXES",$D$2)</f>
        <v>308</v>
      </c>
      <c r="O12" s="3" t="s">
        <v>103</v>
      </c>
      <c r="P12" s="4">
        <v>278</v>
      </c>
    </row>
    <row r="13" spans="1:16" x14ac:dyDescent="0.3">
      <c r="A13" s="3" t="s">
        <v>67</v>
      </c>
      <c r="B13" s="4">
        <v>3926</v>
      </c>
      <c r="D13" s="3" t="s">
        <v>68</v>
      </c>
      <c r="E13" s="4">
        <v>44</v>
      </c>
      <c r="F13" s="4">
        <v>338</v>
      </c>
      <c r="H13" s="3" t="s">
        <v>137</v>
      </c>
      <c r="I13" s="4">
        <v>2718</v>
      </c>
      <c r="L13">
        <f>GETPIVOTDATA("Sum of FOURS",$D$2)</f>
        <v>2644</v>
      </c>
      <c r="O13" s="3" t="s">
        <v>104</v>
      </c>
      <c r="P13" s="4">
        <v>117</v>
      </c>
    </row>
    <row r="14" spans="1:16" x14ac:dyDescent="0.3">
      <c r="A14" s="3" t="s">
        <v>90</v>
      </c>
      <c r="B14" s="4">
        <v>59</v>
      </c>
      <c r="D14" s="3" t="s">
        <v>74</v>
      </c>
      <c r="E14" s="4">
        <v>37</v>
      </c>
      <c r="F14" s="4">
        <v>355</v>
      </c>
      <c r="H14" s="3" t="s">
        <v>138</v>
      </c>
      <c r="I14" s="4">
        <v>2446</v>
      </c>
      <c r="L14">
        <f>GETPIVOTDATA("Count of CENTURY",$N$2)</f>
        <v>590</v>
      </c>
      <c r="O14" s="3" t="s">
        <v>102</v>
      </c>
      <c r="P14" s="4">
        <v>195</v>
      </c>
    </row>
    <row r="15" spans="1:16" x14ac:dyDescent="0.3">
      <c r="A15" s="3" t="s">
        <v>88</v>
      </c>
      <c r="B15" s="4">
        <v>88</v>
      </c>
      <c r="D15" s="3" t="s">
        <v>85</v>
      </c>
      <c r="E15" s="4">
        <v>0</v>
      </c>
      <c r="F15" s="4">
        <v>5</v>
      </c>
      <c r="H15" s="3" t="s">
        <v>139</v>
      </c>
      <c r="I15" s="4">
        <v>842</v>
      </c>
      <c r="L15">
        <f>GETPIVOTDATA("FIFTY",$O$11)</f>
        <v>590</v>
      </c>
      <c r="O15" s="3" t="s">
        <v>123</v>
      </c>
      <c r="P15" s="4">
        <v>590</v>
      </c>
    </row>
    <row r="16" spans="1:16" x14ac:dyDescent="0.3">
      <c r="A16" s="3" t="s">
        <v>91</v>
      </c>
      <c r="B16" s="4">
        <v>125</v>
      </c>
      <c r="D16" s="3" t="s">
        <v>92</v>
      </c>
      <c r="E16" s="4">
        <v>0</v>
      </c>
      <c r="F16" s="4">
        <v>0</v>
      </c>
      <c r="H16" s="3" t="s">
        <v>140</v>
      </c>
      <c r="I16" s="4">
        <v>871</v>
      </c>
    </row>
    <row r="17" spans="1:12" x14ac:dyDescent="0.3">
      <c r="A17" s="3" t="s">
        <v>65</v>
      </c>
      <c r="B17" s="4">
        <v>2984</v>
      </c>
      <c r="D17" s="3" t="s">
        <v>60</v>
      </c>
      <c r="E17" s="4">
        <v>43</v>
      </c>
      <c r="F17" s="4">
        <v>372</v>
      </c>
      <c r="H17" s="3" t="s">
        <v>141</v>
      </c>
      <c r="I17" s="4">
        <v>1319</v>
      </c>
    </row>
    <row r="18" spans="1:12" x14ac:dyDescent="0.3">
      <c r="A18" s="3" t="s">
        <v>84</v>
      </c>
      <c r="B18" s="4">
        <v>1252</v>
      </c>
      <c r="D18" s="3" t="s">
        <v>82</v>
      </c>
      <c r="E18" s="4">
        <v>3</v>
      </c>
      <c r="F18" s="4">
        <v>29</v>
      </c>
      <c r="H18" s="3" t="s">
        <v>142</v>
      </c>
      <c r="I18" s="4">
        <v>2048</v>
      </c>
    </row>
    <row r="19" spans="1:12" x14ac:dyDescent="0.3">
      <c r="A19" s="3" t="s">
        <v>89</v>
      </c>
      <c r="B19" s="4">
        <v>2</v>
      </c>
      <c r="D19" s="3" t="s">
        <v>123</v>
      </c>
      <c r="E19" s="4">
        <v>308</v>
      </c>
      <c r="F19" s="4">
        <v>2644</v>
      </c>
      <c r="H19" s="3" t="s">
        <v>143</v>
      </c>
      <c r="I19" s="4">
        <v>593</v>
      </c>
    </row>
    <row r="20" spans="1:12" x14ac:dyDescent="0.3">
      <c r="A20" s="3" t="s">
        <v>68</v>
      </c>
      <c r="B20" s="4">
        <v>3381</v>
      </c>
      <c r="H20" s="3" t="s">
        <v>144</v>
      </c>
      <c r="I20" s="4">
        <v>669</v>
      </c>
    </row>
    <row r="21" spans="1:12" x14ac:dyDescent="0.3">
      <c r="A21" s="3" t="s">
        <v>74</v>
      </c>
      <c r="B21" s="4">
        <v>3733</v>
      </c>
      <c r="H21" s="3" t="s">
        <v>145</v>
      </c>
      <c r="I21" s="4">
        <v>240</v>
      </c>
      <c r="K21" s="2" t="s">
        <v>122</v>
      </c>
      <c r="L21" t="s">
        <v>148</v>
      </c>
    </row>
    <row r="22" spans="1:12" x14ac:dyDescent="0.3">
      <c r="A22" s="3" t="s">
        <v>85</v>
      </c>
      <c r="B22" s="4">
        <v>33</v>
      </c>
      <c r="H22" s="3" t="s">
        <v>123</v>
      </c>
      <c r="I22" s="4">
        <v>26978</v>
      </c>
      <c r="K22" s="3" t="s">
        <v>103</v>
      </c>
      <c r="L22" s="5">
        <v>81.074765342960305</v>
      </c>
    </row>
    <row r="23" spans="1:12" x14ac:dyDescent="0.3">
      <c r="A23" s="3" t="s">
        <v>92</v>
      </c>
      <c r="B23" s="4">
        <v>0</v>
      </c>
      <c r="K23" s="3" t="s">
        <v>104</v>
      </c>
      <c r="L23" s="5">
        <v>119.67529914529915</v>
      </c>
    </row>
    <row r="24" spans="1:12" x14ac:dyDescent="0.3">
      <c r="A24" s="3" t="s">
        <v>60</v>
      </c>
      <c r="B24" s="4">
        <v>3714</v>
      </c>
      <c r="K24" s="3" t="s">
        <v>102</v>
      </c>
      <c r="L24" s="5">
        <v>48.208512820512823</v>
      </c>
    </row>
    <row r="25" spans="1:12" x14ac:dyDescent="0.3">
      <c r="A25" s="3" t="s">
        <v>82</v>
      </c>
      <c r="B25" s="4">
        <v>287</v>
      </c>
      <c r="K25" s="3" t="s">
        <v>123</v>
      </c>
      <c r="L25" s="5">
        <v>77.861426146010245</v>
      </c>
    </row>
    <row r="26" spans="1:12" x14ac:dyDescent="0.3">
      <c r="A26" s="3" t="s">
        <v>123</v>
      </c>
      <c r="B26" s="4">
        <v>26978</v>
      </c>
    </row>
    <row r="28" spans="1:12" x14ac:dyDescent="0.3">
      <c r="L28" s="5">
        <f>GETPIVOTDATA("STRIKERATE",$K$21)</f>
        <v>77.861426146010245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Mahesh Karagaonkar</cp:lastModifiedBy>
  <dcterms:created xsi:type="dcterms:W3CDTF">2026-02-10T07:32:58Z</dcterms:created>
  <dcterms:modified xsi:type="dcterms:W3CDTF">2026-02-10T14:28:34Z</dcterms:modified>
</cp:coreProperties>
</file>